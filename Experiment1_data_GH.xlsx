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frodo/Sync/Research/BFI AI Work/BFI prediction study/"/>
    </mc:Choice>
  </mc:AlternateContent>
  <xr:revisionPtr revIDLastSave="0" documentId="13_ncr:1_{18F6F1B3-8FFA-134D-8136-453BCFB6FC1F}" xr6:coauthVersionLast="47" xr6:coauthVersionMax="47" xr10:uidLastSave="{00000000-0000-0000-0000-000000000000}"/>
  <bookViews>
    <workbookView xWindow="0" yWindow="2720" windowWidth="29260" windowHeight="18880" xr2:uid="{00000000-000D-0000-FFFF-FFFF00000000}"/>
  </bookViews>
  <sheets>
    <sheet name="Participants" sheetId="1" r:id="rId1"/>
    <sheet name="BFI Scores" sheetId="3" r:id="rId2"/>
    <sheet name="Correlations" sheetId="4" r:id="rId3"/>
    <sheet name="MSE by trait" sheetId="5" r:id="rId4"/>
  </sheets>
  <definedNames>
    <definedName name="_xlnm._FilterDatabase" localSheetId="1" hidden="1">'BFI Scores'!$A$1:$AE$100</definedName>
    <definedName name="_xlnm._FilterDatabase" localSheetId="3" hidden="1">'MSE by trait'!$A$1:$AE$100</definedName>
    <definedName name="_xlnm._FilterDatabase" localSheetId="0" hidden="1">Participants!$A$1:$L$102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0" i="5" l="1"/>
  <c r="Y100" i="5"/>
  <c r="X100" i="5"/>
  <c r="W100" i="5"/>
  <c r="V100" i="5"/>
  <c r="AE100" i="5" s="1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AB100" i="5" s="1"/>
  <c r="F100" i="5"/>
  <c r="E100" i="5"/>
  <c r="D100" i="5"/>
  <c r="C100" i="5"/>
  <c r="B100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AB99" i="5" s="1"/>
  <c r="F99" i="5"/>
  <c r="E99" i="5"/>
  <c r="D99" i="5"/>
  <c r="C99" i="5"/>
  <c r="B99" i="5"/>
  <c r="Z98" i="5"/>
  <c r="Y98" i="5"/>
  <c r="X98" i="5"/>
  <c r="W98" i="5"/>
  <c r="V98" i="5"/>
  <c r="U98" i="5"/>
  <c r="T98" i="5"/>
  <c r="S98" i="5"/>
  <c r="R98" i="5"/>
  <c r="Q98" i="5"/>
  <c r="AD98" i="5" s="1"/>
  <c r="P98" i="5"/>
  <c r="O98" i="5"/>
  <c r="N98" i="5"/>
  <c r="AC98" i="5" s="1"/>
  <c r="M98" i="5"/>
  <c r="L98" i="5"/>
  <c r="K98" i="5"/>
  <c r="J98" i="5"/>
  <c r="I98" i="5"/>
  <c r="H98" i="5"/>
  <c r="G98" i="5"/>
  <c r="F98" i="5"/>
  <c r="E98" i="5"/>
  <c r="D98" i="5"/>
  <c r="C98" i="5"/>
  <c r="B98" i="5"/>
  <c r="AA98" i="5" s="1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Z96" i="5"/>
  <c r="Y96" i="5"/>
  <c r="X96" i="5"/>
  <c r="W96" i="5"/>
  <c r="V96" i="5"/>
  <c r="U96" i="5"/>
  <c r="T96" i="5"/>
  <c r="S96" i="5"/>
  <c r="R96" i="5"/>
  <c r="Q96" i="5"/>
  <c r="AD96" i="5" s="1"/>
  <c r="P96" i="5"/>
  <c r="O96" i="5"/>
  <c r="N96" i="5"/>
  <c r="M96" i="5"/>
  <c r="L96" i="5"/>
  <c r="AC96" i="5" s="1"/>
  <c r="K96" i="5"/>
  <c r="J96" i="5"/>
  <c r="I96" i="5"/>
  <c r="H96" i="5"/>
  <c r="G96" i="5"/>
  <c r="F96" i="5"/>
  <c r="E96" i="5"/>
  <c r="D96" i="5"/>
  <c r="C96" i="5"/>
  <c r="B96" i="5"/>
  <c r="AA96" i="5" s="1"/>
  <c r="AE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AC95" i="5" s="1"/>
  <c r="K95" i="5"/>
  <c r="J95" i="5"/>
  <c r="I95" i="5"/>
  <c r="H95" i="5"/>
  <c r="G95" i="5"/>
  <c r="F95" i="5"/>
  <c r="E95" i="5"/>
  <c r="D95" i="5"/>
  <c r="C95" i="5"/>
  <c r="B95" i="5"/>
  <c r="Z94" i="5"/>
  <c r="Y94" i="5"/>
  <c r="X94" i="5"/>
  <c r="W94" i="5"/>
  <c r="V94" i="5"/>
  <c r="AE94" i="5" s="1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AB94" i="5" s="1"/>
  <c r="F94" i="5"/>
  <c r="E94" i="5"/>
  <c r="D94" i="5"/>
  <c r="C94" i="5"/>
  <c r="B94" i="5"/>
  <c r="Z93" i="5"/>
  <c r="Y93" i="5"/>
  <c r="X93" i="5"/>
  <c r="W93" i="5"/>
  <c r="V93" i="5"/>
  <c r="AE93" i="5" s="1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AB93" i="5" s="1"/>
  <c r="F93" i="5"/>
  <c r="E93" i="5"/>
  <c r="D93" i="5"/>
  <c r="C93" i="5"/>
  <c r="B93" i="5"/>
  <c r="Z92" i="5"/>
  <c r="Y92" i="5"/>
  <c r="X92" i="5"/>
  <c r="W92" i="5"/>
  <c r="V92" i="5"/>
  <c r="U92" i="5"/>
  <c r="T92" i="5"/>
  <c r="S92" i="5"/>
  <c r="R92" i="5"/>
  <c r="Q92" i="5"/>
  <c r="AD92" i="5" s="1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Z91" i="5"/>
  <c r="Y91" i="5"/>
  <c r="X91" i="5"/>
  <c r="W91" i="5"/>
  <c r="AE91" i="5" s="1"/>
  <c r="V91" i="5"/>
  <c r="U91" i="5"/>
  <c r="T91" i="5"/>
  <c r="S91" i="5"/>
  <c r="R91" i="5"/>
  <c r="Q91" i="5"/>
  <c r="AD91" i="5" s="1"/>
  <c r="P91" i="5"/>
  <c r="O91" i="5"/>
  <c r="N91" i="5"/>
  <c r="M91" i="5"/>
  <c r="L91" i="5"/>
  <c r="K91" i="5"/>
  <c r="J91" i="5"/>
  <c r="I91" i="5"/>
  <c r="H91" i="5"/>
  <c r="G91" i="5"/>
  <c r="AB91" i="5" s="1"/>
  <c r="F91" i="5"/>
  <c r="E91" i="5"/>
  <c r="D91" i="5"/>
  <c r="C91" i="5"/>
  <c r="B91" i="5"/>
  <c r="AA91" i="5" s="1"/>
  <c r="Z90" i="5"/>
  <c r="Y90" i="5"/>
  <c r="X90" i="5"/>
  <c r="W90" i="5"/>
  <c r="V90" i="5"/>
  <c r="U90" i="5"/>
  <c r="T90" i="5"/>
  <c r="S90" i="5"/>
  <c r="R90" i="5"/>
  <c r="Q90" i="5"/>
  <c r="AD90" i="5" s="1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Z89" i="5"/>
  <c r="Y89" i="5"/>
  <c r="X89" i="5"/>
  <c r="W89" i="5"/>
  <c r="V89" i="5"/>
  <c r="U89" i="5"/>
  <c r="T89" i="5"/>
  <c r="S89" i="5"/>
  <c r="R89" i="5"/>
  <c r="Q89" i="5"/>
  <c r="AD89" i="5" s="1"/>
  <c r="P89" i="5"/>
  <c r="O89" i="5"/>
  <c r="N89" i="5"/>
  <c r="M89" i="5"/>
  <c r="L89" i="5"/>
  <c r="AC89" i="5" s="1"/>
  <c r="K89" i="5"/>
  <c r="J89" i="5"/>
  <c r="I89" i="5"/>
  <c r="H89" i="5"/>
  <c r="G89" i="5"/>
  <c r="F89" i="5"/>
  <c r="E89" i="5"/>
  <c r="D89" i="5"/>
  <c r="C89" i="5"/>
  <c r="B89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AC88" i="5" s="1"/>
  <c r="K88" i="5"/>
  <c r="J88" i="5"/>
  <c r="I88" i="5"/>
  <c r="H88" i="5"/>
  <c r="G88" i="5"/>
  <c r="F88" i="5"/>
  <c r="E88" i="5"/>
  <c r="D88" i="5"/>
  <c r="C88" i="5"/>
  <c r="B88" i="5"/>
  <c r="AA88" i="5" s="1"/>
  <c r="Z87" i="5"/>
  <c r="Y87" i="5"/>
  <c r="X87" i="5"/>
  <c r="W87" i="5"/>
  <c r="V87" i="5"/>
  <c r="AE87" i="5" s="1"/>
  <c r="U87" i="5"/>
  <c r="T87" i="5"/>
  <c r="S87" i="5"/>
  <c r="R87" i="5"/>
  <c r="Q87" i="5"/>
  <c r="P87" i="5"/>
  <c r="O87" i="5"/>
  <c r="N87" i="5"/>
  <c r="M87" i="5"/>
  <c r="L87" i="5"/>
  <c r="AC87" i="5" s="1"/>
  <c r="K87" i="5"/>
  <c r="J87" i="5"/>
  <c r="I87" i="5"/>
  <c r="H87" i="5"/>
  <c r="G87" i="5"/>
  <c r="AB87" i="5" s="1"/>
  <c r="F87" i="5"/>
  <c r="E87" i="5"/>
  <c r="D87" i="5"/>
  <c r="C87" i="5"/>
  <c r="B87" i="5"/>
  <c r="Z86" i="5"/>
  <c r="Y86" i="5"/>
  <c r="X86" i="5"/>
  <c r="W86" i="5"/>
  <c r="V86" i="5"/>
  <c r="AE86" i="5" s="1"/>
  <c r="U86" i="5"/>
  <c r="T86" i="5"/>
  <c r="S86" i="5"/>
  <c r="R86" i="5"/>
  <c r="Q86" i="5"/>
  <c r="P86" i="5"/>
  <c r="O86" i="5"/>
  <c r="N86" i="5"/>
  <c r="M86" i="5"/>
  <c r="AC86" i="5" s="1"/>
  <c r="L86" i="5"/>
  <c r="K86" i="5"/>
  <c r="J86" i="5"/>
  <c r="I86" i="5"/>
  <c r="H86" i="5"/>
  <c r="G86" i="5"/>
  <c r="AB86" i="5" s="1"/>
  <c r="F86" i="5"/>
  <c r="E86" i="5"/>
  <c r="D86" i="5"/>
  <c r="C86" i="5"/>
  <c r="B86" i="5"/>
  <c r="Z85" i="5"/>
  <c r="Y85" i="5"/>
  <c r="X85" i="5"/>
  <c r="W85" i="5"/>
  <c r="V85" i="5"/>
  <c r="AE85" i="5" s="1"/>
  <c r="U85" i="5"/>
  <c r="T85" i="5"/>
  <c r="S85" i="5"/>
  <c r="R85" i="5"/>
  <c r="Q85" i="5"/>
  <c r="AD85" i="5" s="1"/>
  <c r="P85" i="5"/>
  <c r="O85" i="5"/>
  <c r="N85" i="5"/>
  <c r="M85" i="5"/>
  <c r="L85" i="5"/>
  <c r="K85" i="5"/>
  <c r="J85" i="5"/>
  <c r="I85" i="5"/>
  <c r="H85" i="5"/>
  <c r="G85" i="5"/>
  <c r="AB85" i="5" s="1"/>
  <c r="F85" i="5"/>
  <c r="E85" i="5"/>
  <c r="D85" i="5"/>
  <c r="C85" i="5"/>
  <c r="B85" i="5"/>
  <c r="Z84" i="5"/>
  <c r="Y84" i="5"/>
  <c r="X84" i="5"/>
  <c r="W84" i="5"/>
  <c r="V84" i="5"/>
  <c r="U84" i="5"/>
  <c r="T84" i="5"/>
  <c r="S84" i="5"/>
  <c r="R84" i="5"/>
  <c r="Q84" i="5"/>
  <c r="AD84" i="5" s="1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A84" i="5" s="1"/>
  <c r="Z83" i="5"/>
  <c r="Y83" i="5"/>
  <c r="AE83" i="5" s="1"/>
  <c r="X83" i="5"/>
  <c r="W83" i="5"/>
  <c r="V83" i="5"/>
  <c r="U83" i="5"/>
  <c r="T83" i="5"/>
  <c r="S83" i="5"/>
  <c r="R83" i="5"/>
  <c r="Q83" i="5"/>
  <c r="AD83" i="5" s="1"/>
  <c r="P83" i="5"/>
  <c r="O83" i="5"/>
  <c r="N83" i="5"/>
  <c r="M83" i="5"/>
  <c r="L83" i="5"/>
  <c r="AC83" i="5" s="1"/>
  <c r="K83" i="5"/>
  <c r="J83" i="5"/>
  <c r="I83" i="5"/>
  <c r="H83" i="5"/>
  <c r="G83" i="5"/>
  <c r="F83" i="5"/>
  <c r="E83" i="5"/>
  <c r="D83" i="5"/>
  <c r="C83" i="5"/>
  <c r="B83" i="5"/>
  <c r="AA83" i="5" s="1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Z81" i="5"/>
  <c r="Y81" i="5"/>
  <c r="X81" i="5"/>
  <c r="W81" i="5"/>
  <c r="V81" i="5"/>
  <c r="AE81" i="5" s="1"/>
  <c r="U81" i="5"/>
  <c r="T81" i="5"/>
  <c r="S81" i="5"/>
  <c r="R81" i="5"/>
  <c r="Q81" i="5"/>
  <c r="P81" i="5"/>
  <c r="O81" i="5"/>
  <c r="N81" i="5"/>
  <c r="M81" i="5"/>
  <c r="L81" i="5"/>
  <c r="AC81" i="5" s="1"/>
  <c r="K81" i="5"/>
  <c r="J81" i="5"/>
  <c r="I81" i="5"/>
  <c r="H81" i="5"/>
  <c r="G81" i="5"/>
  <c r="F81" i="5"/>
  <c r="E81" i="5"/>
  <c r="D81" i="5"/>
  <c r="C81" i="5"/>
  <c r="AA81" i="5" s="1"/>
  <c r="B81" i="5"/>
  <c r="Z80" i="5"/>
  <c r="Y80" i="5"/>
  <c r="X80" i="5"/>
  <c r="W80" i="5"/>
  <c r="V80" i="5"/>
  <c r="AE80" i="5" s="1"/>
  <c r="U80" i="5"/>
  <c r="T80" i="5"/>
  <c r="S80" i="5"/>
  <c r="R80" i="5"/>
  <c r="Q80" i="5"/>
  <c r="P80" i="5"/>
  <c r="O80" i="5"/>
  <c r="N80" i="5"/>
  <c r="M80" i="5"/>
  <c r="L80" i="5"/>
  <c r="AC80" i="5" s="1"/>
  <c r="K80" i="5"/>
  <c r="J80" i="5"/>
  <c r="I80" i="5"/>
  <c r="H80" i="5"/>
  <c r="G80" i="5"/>
  <c r="AB80" i="5" s="1"/>
  <c r="F80" i="5"/>
  <c r="E80" i="5"/>
  <c r="D80" i="5"/>
  <c r="C80" i="5"/>
  <c r="B80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AB79" i="5" s="1"/>
  <c r="F79" i="5"/>
  <c r="E79" i="5"/>
  <c r="D79" i="5"/>
  <c r="C79" i="5"/>
  <c r="B79" i="5"/>
  <c r="Z78" i="5"/>
  <c r="Y78" i="5"/>
  <c r="X78" i="5"/>
  <c r="W78" i="5"/>
  <c r="V78" i="5"/>
  <c r="U78" i="5"/>
  <c r="T78" i="5"/>
  <c r="S78" i="5"/>
  <c r="R78" i="5"/>
  <c r="Q78" i="5"/>
  <c r="AD78" i="5" s="1"/>
  <c r="P78" i="5"/>
  <c r="O78" i="5"/>
  <c r="N78" i="5"/>
  <c r="M78" i="5"/>
  <c r="L78" i="5"/>
  <c r="AC78" i="5" s="1"/>
  <c r="K78" i="5"/>
  <c r="J78" i="5"/>
  <c r="I78" i="5"/>
  <c r="H78" i="5"/>
  <c r="G78" i="5"/>
  <c r="AB78" i="5" s="1"/>
  <c r="F78" i="5"/>
  <c r="E78" i="5"/>
  <c r="D78" i="5"/>
  <c r="C78" i="5"/>
  <c r="B78" i="5"/>
  <c r="AA78" i="5" s="1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Z76" i="5"/>
  <c r="Y76" i="5"/>
  <c r="X76" i="5"/>
  <c r="W76" i="5"/>
  <c r="V76" i="5"/>
  <c r="U76" i="5"/>
  <c r="T76" i="5"/>
  <c r="S76" i="5"/>
  <c r="R76" i="5"/>
  <c r="Q76" i="5"/>
  <c r="AD76" i="5" s="1"/>
  <c r="P76" i="5"/>
  <c r="O76" i="5"/>
  <c r="N76" i="5"/>
  <c r="M76" i="5"/>
  <c r="L76" i="5"/>
  <c r="AC76" i="5" s="1"/>
  <c r="K76" i="5"/>
  <c r="J76" i="5"/>
  <c r="I76" i="5"/>
  <c r="H76" i="5"/>
  <c r="G76" i="5"/>
  <c r="F76" i="5"/>
  <c r="E76" i="5"/>
  <c r="D76" i="5"/>
  <c r="C76" i="5"/>
  <c r="B76" i="5"/>
  <c r="AA76" i="5" s="1"/>
  <c r="AE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Z74" i="5"/>
  <c r="Y74" i="5"/>
  <c r="X74" i="5"/>
  <c r="W74" i="5"/>
  <c r="V74" i="5"/>
  <c r="AE74" i="5" s="1"/>
  <c r="U74" i="5"/>
  <c r="T74" i="5"/>
  <c r="S74" i="5"/>
  <c r="R74" i="5"/>
  <c r="Q74" i="5"/>
  <c r="P74" i="5"/>
  <c r="O74" i="5"/>
  <c r="N74" i="5"/>
  <c r="M74" i="5"/>
  <c r="L74" i="5"/>
  <c r="AC74" i="5" s="1"/>
  <c r="K74" i="5"/>
  <c r="J74" i="5"/>
  <c r="I74" i="5"/>
  <c r="H74" i="5"/>
  <c r="G74" i="5"/>
  <c r="AB74" i="5" s="1"/>
  <c r="F74" i="5"/>
  <c r="E74" i="5"/>
  <c r="D74" i="5"/>
  <c r="C74" i="5"/>
  <c r="B74" i="5"/>
  <c r="Z73" i="5"/>
  <c r="Y73" i="5"/>
  <c r="X73" i="5"/>
  <c r="W73" i="5"/>
  <c r="V73" i="5"/>
  <c r="AE73" i="5" s="1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AB73" i="5" s="1"/>
  <c r="F73" i="5"/>
  <c r="E73" i="5"/>
  <c r="D73" i="5"/>
  <c r="C73" i="5"/>
  <c r="B73" i="5"/>
  <c r="Z72" i="5"/>
  <c r="Y72" i="5"/>
  <c r="X72" i="5"/>
  <c r="W72" i="5"/>
  <c r="V72" i="5"/>
  <c r="U72" i="5"/>
  <c r="T72" i="5"/>
  <c r="S72" i="5"/>
  <c r="R72" i="5"/>
  <c r="Q72" i="5"/>
  <c r="AD72" i="5" s="1"/>
  <c r="P72" i="5"/>
  <c r="O72" i="5"/>
  <c r="N72" i="5"/>
  <c r="M72" i="5"/>
  <c r="L72" i="5"/>
  <c r="K72" i="5"/>
  <c r="J72" i="5"/>
  <c r="I72" i="5"/>
  <c r="H72" i="5"/>
  <c r="G72" i="5"/>
  <c r="AB72" i="5" s="1"/>
  <c r="F72" i="5"/>
  <c r="E72" i="5"/>
  <c r="D72" i="5"/>
  <c r="C72" i="5"/>
  <c r="B72" i="5"/>
  <c r="AA72" i="5" s="1"/>
  <c r="Z71" i="5"/>
  <c r="Y71" i="5"/>
  <c r="X71" i="5"/>
  <c r="W71" i="5"/>
  <c r="V71" i="5"/>
  <c r="U71" i="5"/>
  <c r="T71" i="5"/>
  <c r="S71" i="5"/>
  <c r="R71" i="5"/>
  <c r="Q71" i="5"/>
  <c r="AD71" i="5" s="1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A71" i="5" s="1"/>
  <c r="AC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A70" i="5" s="1"/>
  <c r="Z69" i="5"/>
  <c r="Y69" i="5"/>
  <c r="X69" i="5"/>
  <c r="W69" i="5"/>
  <c r="V69" i="5"/>
  <c r="AE69" i="5" s="1"/>
  <c r="U69" i="5"/>
  <c r="T69" i="5"/>
  <c r="S69" i="5"/>
  <c r="R69" i="5"/>
  <c r="Q69" i="5"/>
  <c r="P69" i="5"/>
  <c r="O69" i="5"/>
  <c r="N69" i="5"/>
  <c r="M69" i="5"/>
  <c r="L69" i="5"/>
  <c r="AC69" i="5" s="1"/>
  <c r="K69" i="5"/>
  <c r="J69" i="5"/>
  <c r="I69" i="5"/>
  <c r="H69" i="5"/>
  <c r="G69" i="5"/>
  <c r="F69" i="5"/>
  <c r="E69" i="5"/>
  <c r="D69" i="5"/>
  <c r="C69" i="5"/>
  <c r="AA69" i="5" s="1"/>
  <c r="B69" i="5"/>
  <c r="Z68" i="5"/>
  <c r="Y68" i="5"/>
  <c r="X68" i="5"/>
  <c r="W68" i="5"/>
  <c r="V68" i="5"/>
  <c r="AE68" i="5" s="1"/>
  <c r="U68" i="5"/>
  <c r="T68" i="5"/>
  <c r="S68" i="5"/>
  <c r="R68" i="5"/>
  <c r="Q68" i="5"/>
  <c r="P68" i="5"/>
  <c r="O68" i="5"/>
  <c r="N68" i="5"/>
  <c r="M68" i="5"/>
  <c r="L68" i="5"/>
  <c r="AC68" i="5" s="1"/>
  <c r="K68" i="5"/>
  <c r="J68" i="5"/>
  <c r="I68" i="5"/>
  <c r="H68" i="5"/>
  <c r="G68" i="5"/>
  <c r="AB68" i="5" s="1"/>
  <c r="F68" i="5"/>
  <c r="E68" i="5"/>
  <c r="D68" i="5"/>
  <c r="C68" i="5"/>
  <c r="B68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AB67" i="5" s="1"/>
  <c r="F67" i="5"/>
  <c r="E67" i="5"/>
  <c r="D67" i="5"/>
  <c r="C67" i="5"/>
  <c r="B67" i="5"/>
  <c r="Z66" i="5"/>
  <c r="Y66" i="5"/>
  <c r="X66" i="5"/>
  <c r="W66" i="5"/>
  <c r="V66" i="5"/>
  <c r="U66" i="5"/>
  <c r="T66" i="5"/>
  <c r="S66" i="5"/>
  <c r="R66" i="5"/>
  <c r="Q66" i="5"/>
  <c r="AD66" i="5" s="1"/>
  <c r="P66" i="5"/>
  <c r="O66" i="5"/>
  <c r="N66" i="5"/>
  <c r="M66" i="5"/>
  <c r="L66" i="5"/>
  <c r="AC66" i="5" s="1"/>
  <c r="K66" i="5"/>
  <c r="J66" i="5"/>
  <c r="I66" i="5"/>
  <c r="H66" i="5"/>
  <c r="G66" i="5"/>
  <c r="AB66" i="5" s="1"/>
  <c r="F66" i="5"/>
  <c r="E66" i="5"/>
  <c r="D66" i="5"/>
  <c r="C66" i="5"/>
  <c r="B66" i="5"/>
  <c r="AA66" i="5" s="1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Z64" i="5"/>
  <c r="Y64" i="5"/>
  <c r="X64" i="5"/>
  <c r="W64" i="5"/>
  <c r="V64" i="5"/>
  <c r="U64" i="5"/>
  <c r="T64" i="5"/>
  <c r="S64" i="5"/>
  <c r="R64" i="5"/>
  <c r="Q64" i="5"/>
  <c r="AD64" i="5" s="1"/>
  <c r="P64" i="5"/>
  <c r="O64" i="5"/>
  <c r="N64" i="5"/>
  <c r="M64" i="5"/>
  <c r="L64" i="5"/>
  <c r="AC64" i="5" s="1"/>
  <c r="K64" i="5"/>
  <c r="J64" i="5"/>
  <c r="I64" i="5"/>
  <c r="H64" i="5"/>
  <c r="G64" i="5"/>
  <c r="F64" i="5"/>
  <c r="E64" i="5"/>
  <c r="D64" i="5"/>
  <c r="C64" i="5"/>
  <c r="B64" i="5"/>
  <c r="AA64" i="5" s="1"/>
  <c r="AE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AC63" i="5" s="1"/>
  <c r="K63" i="5"/>
  <c r="J63" i="5"/>
  <c r="I63" i="5"/>
  <c r="H63" i="5"/>
  <c r="G63" i="5"/>
  <c r="F63" i="5"/>
  <c r="E63" i="5"/>
  <c r="D63" i="5"/>
  <c r="C63" i="5"/>
  <c r="B63" i="5"/>
  <c r="Z62" i="5"/>
  <c r="Y62" i="5"/>
  <c r="X62" i="5"/>
  <c r="W62" i="5"/>
  <c r="V62" i="5"/>
  <c r="AE62" i="5" s="1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AB62" i="5" s="1"/>
  <c r="F62" i="5"/>
  <c r="E62" i="5"/>
  <c r="D62" i="5"/>
  <c r="C62" i="5"/>
  <c r="B62" i="5"/>
  <c r="Z61" i="5"/>
  <c r="Y61" i="5"/>
  <c r="X61" i="5"/>
  <c r="W61" i="5"/>
  <c r="V61" i="5"/>
  <c r="AE61" i="5" s="1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AB61" i="5" s="1"/>
  <c r="F61" i="5"/>
  <c r="E61" i="5"/>
  <c r="D61" i="5"/>
  <c r="C61" i="5"/>
  <c r="B61" i="5"/>
  <c r="Z60" i="5"/>
  <c r="Y60" i="5"/>
  <c r="X60" i="5"/>
  <c r="W60" i="5"/>
  <c r="V60" i="5"/>
  <c r="U60" i="5"/>
  <c r="T60" i="5"/>
  <c r="S60" i="5"/>
  <c r="R60" i="5"/>
  <c r="Q60" i="5"/>
  <c r="AD60" i="5" s="1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Z59" i="5"/>
  <c r="Y59" i="5"/>
  <c r="X59" i="5"/>
  <c r="AE59" i="5" s="1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A58" i="5" s="1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Z56" i="5"/>
  <c r="Y56" i="5"/>
  <c r="X56" i="5"/>
  <c r="W56" i="5"/>
  <c r="V56" i="5"/>
  <c r="AE56" i="5" s="1"/>
  <c r="U56" i="5"/>
  <c r="T56" i="5"/>
  <c r="S56" i="5"/>
  <c r="AD56" i="5" s="1"/>
  <c r="R56" i="5"/>
  <c r="Q56" i="5"/>
  <c r="P56" i="5"/>
  <c r="O56" i="5"/>
  <c r="N56" i="5"/>
  <c r="M56" i="5"/>
  <c r="L56" i="5"/>
  <c r="AC56" i="5" s="1"/>
  <c r="K56" i="5"/>
  <c r="J56" i="5"/>
  <c r="I56" i="5"/>
  <c r="H56" i="5"/>
  <c r="G56" i="5"/>
  <c r="F56" i="5"/>
  <c r="E56" i="5"/>
  <c r="D56" i="5"/>
  <c r="C56" i="5"/>
  <c r="B56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AB55" i="5" s="1"/>
  <c r="F55" i="5"/>
  <c r="E55" i="5"/>
  <c r="D55" i="5"/>
  <c r="C55" i="5"/>
  <c r="B55" i="5"/>
  <c r="Z54" i="5"/>
  <c r="Y54" i="5"/>
  <c r="X54" i="5"/>
  <c r="W54" i="5"/>
  <c r="V54" i="5"/>
  <c r="U54" i="5"/>
  <c r="T54" i="5"/>
  <c r="S54" i="5"/>
  <c r="R54" i="5"/>
  <c r="Q54" i="5"/>
  <c r="AD54" i="5" s="1"/>
  <c r="P54" i="5"/>
  <c r="O54" i="5"/>
  <c r="N54" i="5"/>
  <c r="M54" i="5"/>
  <c r="L54" i="5"/>
  <c r="AC54" i="5" s="1"/>
  <c r="K54" i="5"/>
  <c r="J54" i="5"/>
  <c r="I54" i="5"/>
  <c r="H54" i="5"/>
  <c r="G54" i="5"/>
  <c r="AB54" i="5" s="1"/>
  <c r="F54" i="5"/>
  <c r="E54" i="5"/>
  <c r="D54" i="5"/>
  <c r="C54" i="5"/>
  <c r="B54" i="5"/>
  <c r="AA54" i="5" s="1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Z52" i="5"/>
  <c r="Y52" i="5"/>
  <c r="X52" i="5"/>
  <c r="W52" i="5"/>
  <c r="V52" i="5"/>
  <c r="U52" i="5"/>
  <c r="T52" i="5"/>
  <c r="S52" i="5"/>
  <c r="R52" i="5"/>
  <c r="AD52" i="5" s="1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AC50" i="5" s="1"/>
  <c r="K50" i="5"/>
  <c r="J50" i="5"/>
  <c r="I50" i="5"/>
  <c r="H50" i="5"/>
  <c r="G50" i="5"/>
  <c r="F50" i="5"/>
  <c r="E50" i="5"/>
  <c r="D50" i="5"/>
  <c r="C50" i="5"/>
  <c r="B50" i="5"/>
  <c r="Z49" i="5"/>
  <c r="Y49" i="5"/>
  <c r="X49" i="5"/>
  <c r="W49" i="5"/>
  <c r="V49" i="5"/>
  <c r="AE49" i="5" s="1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Z48" i="5"/>
  <c r="Y48" i="5"/>
  <c r="X48" i="5"/>
  <c r="W48" i="5"/>
  <c r="V48" i="5"/>
  <c r="U48" i="5"/>
  <c r="T48" i="5"/>
  <c r="S48" i="5"/>
  <c r="R48" i="5"/>
  <c r="Q48" i="5"/>
  <c r="AD48" i="5" s="1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Z47" i="5"/>
  <c r="Y47" i="5"/>
  <c r="X47" i="5"/>
  <c r="W47" i="5"/>
  <c r="V47" i="5"/>
  <c r="U47" i="5"/>
  <c r="T47" i="5"/>
  <c r="S47" i="5"/>
  <c r="R47" i="5"/>
  <c r="Q47" i="5"/>
  <c r="AD47" i="5" s="1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A47" i="5" s="1"/>
  <c r="AC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Z45" i="5"/>
  <c r="Y45" i="5"/>
  <c r="X45" i="5"/>
  <c r="W45" i="5"/>
  <c r="V45" i="5"/>
  <c r="AE45" i="5" s="1"/>
  <c r="U45" i="5"/>
  <c r="T45" i="5"/>
  <c r="S45" i="5"/>
  <c r="R45" i="5"/>
  <c r="Q45" i="5"/>
  <c r="P45" i="5"/>
  <c r="O45" i="5"/>
  <c r="N45" i="5"/>
  <c r="M45" i="5"/>
  <c r="L45" i="5"/>
  <c r="AC45" i="5" s="1"/>
  <c r="K45" i="5"/>
  <c r="J45" i="5"/>
  <c r="I45" i="5"/>
  <c r="H45" i="5"/>
  <c r="G45" i="5"/>
  <c r="F45" i="5"/>
  <c r="E45" i="5"/>
  <c r="D45" i="5"/>
  <c r="C45" i="5"/>
  <c r="B45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AB44" i="5" s="1"/>
  <c r="F44" i="5"/>
  <c r="E44" i="5"/>
  <c r="D44" i="5"/>
  <c r="C44" i="5"/>
  <c r="B44" i="5"/>
  <c r="Z43" i="5"/>
  <c r="Y43" i="5"/>
  <c r="X43" i="5"/>
  <c r="AE43" i="5" s="1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AB43" i="5" s="1"/>
  <c r="G43" i="5"/>
  <c r="F43" i="5"/>
  <c r="E43" i="5"/>
  <c r="D43" i="5"/>
  <c r="C43" i="5"/>
  <c r="B43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Z40" i="5"/>
  <c r="Y40" i="5"/>
  <c r="X40" i="5"/>
  <c r="W40" i="5"/>
  <c r="V40" i="5"/>
  <c r="AE40" i="5" s="1"/>
  <c r="U40" i="5"/>
  <c r="T40" i="5"/>
  <c r="S40" i="5"/>
  <c r="R40" i="5"/>
  <c r="Q40" i="5"/>
  <c r="AD40" i="5" s="1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AB39" i="5" s="1"/>
  <c r="F39" i="5"/>
  <c r="E39" i="5"/>
  <c r="D39" i="5"/>
  <c r="C39" i="5"/>
  <c r="B39" i="5"/>
  <c r="Z38" i="5"/>
  <c r="Y38" i="5"/>
  <c r="X38" i="5"/>
  <c r="W38" i="5"/>
  <c r="V38" i="5"/>
  <c r="U38" i="5"/>
  <c r="T38" i="5"/>
  <c r="S38" i="5"/>
  <c r="R38" i="5"/>
  <c r="Q38" i="5"/>
  <c r="P38" i="5"/>
  <c r="AC38" i="5" s="1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A38" i="5" s="1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AC37" i="5" s="1"/>
  <c r="K37" i="5"/>
  <c r="J37" i="5"/>
  <c r="I37" i="5"/>
  <c r="H37" i="5"/>
  <c r="G37" i="5"/>
  <c r="F37" i="5"/>
  <c r="E37" i="5"/>
  <c r="D37" i="5"/>
  <c r="C37" i="5"/>
  <c r="B37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Z35" i="5"/>
  <c r="Y35" i="5"/>
  <c r="X35" i="5"/>
  <c r="W35" i="5"/>
  <c r="V35" i="5"/>
  <c r="AE35" i="5" s="1"/>
  <c r="U35" i="5"/>
  <c r="T35" i="5"/>
  <c r="S35" i="5"/>
  <c r="R35" i="5"/>
  <c r="Q35" i="5"/>
  <c r="P35" i="5"/>
  <c r="O35" i="5"/>
  <c r="N35" i="5"/>
  <c r="M35" i="5"/>
  <c r="L35" i="5"/>
  <c r="AC35" i="5" s="1"/>
  <c r="K35" i="5"/>
  <c r="J35" i="5"/>
  <c r="I35" i="5"/>
  <c r="H35" i="5"/>
  <c r="G35" i="5"/>
  <c r="AB35" i="5" s="1"/>
  <c r="F35" i="5"/>
  <c r="E35" i="5"/>
  <c r="D35" i="5"/>
  <c r="C35" i="5"/>
  <c r="B35" i="5"/>
  <c r="Z34" i="5"/>
  <c r="Y34" i="5"/>
  <c r="X34" i="5"/>
  <c r="W34" i="5"/>
  <c r="V34" i="5"/>
  <c r="U34" i="5"/>
  <c r="T34" i="5"/>
  <c r="S34" i="5"/>
  <c r="R34" i="5"/>
  <c r="Q34" i="5"/>
  <c r="AD34" i="5" s="1"/>
  <c r="P34" i="5"/>
  <c r="O34" i="5"/>
  <c r="N34" i="5"/>
  <c r="M34" i="5"/>
  <c r="L34" i="5"/>
  <c r="K34" i="5"/>
  <c r="J34" i="5"/>
  <c r="I34" i="5"/>
  <c r="H34" i="5"/>
  <c r="G34" i="5"/>
  <c r="AB34" i="5" s="1"/>
  <c r="F34" i="5"/>
  <c r="E34" i="5"/>
  <c r="D34" i="5"/>
  <c r="C34" i="5"/>
  <c r="B34" i="5"/>
  <c r="AA34" i="5" s="1"/>
  <c r="Z33" i="5"/>
  <c r="Y33" i="5"/>
  <c r="AE33" i="5" s="1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AC33" i="5" s="1"/>
  <c r="K33" i="5"/>
  <c r="J33" i="5"/>
  <c r="I33" i="5"/>
  <c r="H33" i="5"/>
  <c r="G33" i="5"/>
  <c r="F33" i="5"/>
  <c r="E33" i="5"/>
  <c r="D33" i="5"/>
  <c r="C33" i="5"/>
  <c r="B33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Z31" i="5"/>
  <c r="Y31" i="5"/>
  <c r="X31" i="5"/>
  <c r="W31" i="5"/>
  <c r="V31" i="5"/>
  <c r="AE31" i="5" s="1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AB31" i="5" s="1"/>
  <c r="F31" i="5"/>
  <c r="E31" i="5"/>
  <c r="D31" i="5"/>
  <c r="C31" i="5"/>
  <c r="B31" i="5"/>
  <c r="Z30" i="5"/>
  <c r="Y30" i="5"/>
  <c r="X30" i="5"/>
  <c r="W30" i="5"/>
  <c r="V30" i="5"/>
  <c r="AE30" i="5" s="1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AB30" i="5" s="1"/>
  <c r="F30" i="5"/>
  <c r="E30" i="5"/>
  <c r="D30" i="5"/>
  <c r="C30" i="5"/>
  <c r="B30" i="5"/>
  <c r="Z29" i="5"/>
  <c r="Y29" i="5"/>
  <c r="X29" i="5"/>
  <c r="AE29" i="5" s="1"/>
  <c r="W29" i="5"/>
  <c r="V29" i="5"/>
  <c r="U29" i="5"/>
  <c r="T29" i="5"/>
  <c r="S29" i="5"/>
  <c r="R29" i="5"/>
  <c r="Q29" i="5"/>
  <c r="AD29" i="5" s="1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E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AC27" i="5" s="1"/>
  <c r="K27" i="5"/>
  <c r="AB27" i="5" s="1"/>
  <c r="J27" i="5"/>
  <c r="I27" i="5"/>
  <c r="H27" i="5"/>
  <c r="G27" i="5"/>
  <c r="F27" i="5"/>
  <c r="E27" i="5"/>
  <c r="D27" i="5"/>
  <c r="C27" i="5"/>
  <c r="AA27" i="5" s="1"/>
  <c r="B27" i="5"/>
  <c r="Z26" i="5"/>
  <c r="Y26" i="5"/>
  <c r="X26" i="5"/>
  <c r="W26" i="5"/>
  <c r="V26" i="5"/>
  <c r="AE26" i="5" s="1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AB26" i="5" s="1"/>
  <c r="F26" i="5"/>
  <c r="E26" i="5"/>
  <c r="D26" i="5"/>
  <c r="C26" i="5"/>
  <c r="B26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Z24" i="5"/>
  <c r="Y24" i="5"/>
  <c r="X24" i="5"/>
  <c r="W24" i="5"/>
  <c r="AE24" i="5" s="1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AB24" i="5" s="1"/>
  <c r="F24" i="5"/>
  <c r="E24" i="5"/>
  <c r="D24" i="5"/>
  <c r="C24" i="5"/>
  <c r="B24" i="5"/>
  <c r="Z23" i="5"/>
  <c r="Y23" i="5"/>
  <c r="X23" i="5"/>
  <c r="W23" i="5"/>
  <c r="V23" i="5"/>
  <c r="U23" i="5"/>
  <c r="T23" i="5"/>
  <c r="S23" i="5"/>
  <c r="R23" i="5"/>
  <c r="Q23" i="5"/>
  <c r="AD23" i="5" s="1"/>
  <c r="P23" i="5"/>
  <c r="O23" i="5"/>
  <c r="N23" i="5"/>
  <c r="M23" i="5"/>
  <c r="L23" i="5"/>
  <c r="AC23" i="5" s="1"/>
  <c r="K23" i="5"/>
  <c r="J23" i="5"/>
  <c r="I23" i="5"/>
  <c r="AB23" i="5" s="1"/>
  <c r="H23" i="5"/>
  <c r="G23" i="5"/>
  <c r="F23" i="5"/>
  <c r="E23" i="5"/>
  <c r="D23" i="5"/>
  <c r="C23" i="5"/>
  <c r="B23" i="5"/>
  <c r="AA23" i="5" s="1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AA21" i="5" s="1"/>
  <c r="B21" i="5"/>
  <c r="Z20" i="5"/>
  <c r="Y20" i="5"/>
  <c r="X20" i="5"/>
  <c r="W20" i="5"/>
  <c r="V20" i="5"/>
  <c r="AE20" i="5" s="1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AB20" i="5" s="1"/>
  <c r="F20" i="5"/>
  <c r="E20" i="5"/>
  <c r="D20" i="5"/>
  <c r="C20" i="5"/>
  <c r="B20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Z18" i="5"/>
  <c r="Y18" i="5"/>
  <c r="X18" i="5"/>
  <c r="W18" i="5"/>
  <c r="V18" i="5"/>
  <c r="AE18" i="5" s="1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AB18" i="5" s="1"/>
  <c r="F18" i="5"/>
  <c r="E18" i="5"/>
  <c r="D18" i="5"/>
  <c r="C18" i="5"/>
  <c r="B18" i="5"/>
  <c r="Z17" i="5"/>
  <c r="Y17" i="5"/>
  <c r="X17" i="5"/>
  <c r="W17" i="5"/>
  <c r="V17" i="5"/>
  <c r="U17" i="5"/>
  <c r="T17" i="5"/>
  <c r="S17" i="5"/>
  <c r="R17" i="5"/>
  <c r="Q17" i="5"/>
  <c r="AD17" i="5" s="1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Z16" i="5"/>
  <c r="Y16" i="5"/>
  <c r="X16" i="5"/>
  <c r="W16" i="5"/>
  <c r="V16" i="5"/>
  <c r="U16" i="5"/>
  <c r="T16" i="5"/>
  <c r="S16" i="5"/>
  <c r="R16" i="5"/>
  <c r="Q16" i="5"/>
  <c r="AD16" i="5" s="1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Z15" i="5"/>
  <c r="AE15" i="5" s="1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AC15" i="5" s="1"/>
  <c r="K15" i="5"/>
  <c r="J15" i="5"/>
  <c r="AB15" i="5" s="1"/>
  <c r="I15" i="5"/>
  <c r="H15" i="5"/>
  <c r="G15" i="5"/>
  <c r="F15" i="5"/>
  <c r="E15" i="5"/>
  <c r="D15" i="5"/>
  <c r="C15" i="5"/>
  <c r="B15" i="5"/>
  <c r="Z14" i="5"/>
  <c r="Y14" i="5"/>
  <c r="X14" i="5"/>
  <c r="W14" i="5"/>
  <c r="V14" i="5"/>
  <c r="AE14" i="5" s="1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AC13" i="5" s="1"/>
  <c r="K13" i="5"/>
  <c r="J13" i="5"/>
  <c r="I13" i="5"/>
  <c r="H13" i="5"/>
  <c r="G13" i="5"/>
  <c r="F13" i="5"/>
  <c r="E13" i="5"/>
  <c r="D13" i="5"/>
  <c r="C13" i="5"/>
  <c r="B13" i="5"/>
  <c r="Z12" i="5"/>
  <c r="Y12" i="5"/>
  <c r="X12" i="5"/>
  <c r="W12" i="5"/>
  <c r="V12" i="5"/>
  <c r="AE12" i="5" s="1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AB12" i="5" s="1"/>
  <c r="F12" i="5"/>
  <c r="E12" i="5"/>
  <c r="D12" i="5"/>
  <c r="C12" i="5"/>
  <c r="B12" i="5"/>
  <c r="Z11" i="5"/>
  <c r="Y11" i="5"/>
  <c r="X11" i="5"/>
  <c r="AE11" i="5" s="1"/>
  <c r="W11" i="5"/>
  <c r="V11" i="5"/>
  <c r="U11" i="5"/>
  <c r="T11" i="5"/>
  <c r="S11" i="5"/>
  <c r="R11" i="5"/>
  <c r="Q11" i="5"/>
  <c r="P11" i="5"/>
  <c r="O11" i="5"/>
  <c r="N11" i="5"/>
  <c r="M11" i="5"/>
  <c r="L11" i="5"/>
  <c r="AC11" i="5" s="1"/>
  <c r="K11" i="5"/>
  <c r="J11" i="5"/>
  <c r="I11" i="5"/>
  <c r="AB11" i="5" s="1"/>
  <c r="H11" i="5"/>
  <c r="G11" i="5"/>
  <c r="F11" i="5"/>
  <c r="E11" i="5"/>
  <c r="D11" i="5"/>
  <c r="C11" i="5"/>
  <c r="B11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A10" i="5" s="1"/>
  <c r="Z9" i="5"/>
  <c r="Y9" i="5"/>
  <c r="X9" i="5"/>
  <c r="W9" i="5"/>
  <c r="V9" i="5"/>
  <c r="AE9" i="5" s="1"/>
  <c r="U9" i="5"/>
  <c r="T9" i="5"/>
  <c r="S9" i="5"/>
  <c r="R9" i="5"/>
  <c r="Q9" i="5"/>
  <c r="AD9" i="5" s="1"/>
  <c r="P9" i="5"/>
  <c r="O9" i="5"/>
  <c r="N9" i="5"/>
  <c r="M9" i="5"/>
  <c r="AC9" i="5" s="1"/>
  <c r="L9" i="5"/>
  <c r="K9" i="5"/>
  <c r="J9" i="5"/>
  <c r="I9" i="5"/>
  <c r="H9" i="5"/>
  <c r="G9" i="5"/>
  <c r="F9" i="5"/>
  <c r="E9" i="5"/>
  <c r="D9" i="5"/>
  <c r="C9" i="5"/>
  <c r="B9" i="5"/>
  <c r="Z8" i="5"/>
  <c r="Y8" i="5"/>
  <c r="X8" i="5"/>
  <c r="W8" i="5"/>
  <c r="V8" i="5"/>
  <c r="U8" i="5"/>
  <c r="T8" i="5"/>
  <c r="S8" i="5"/>
  <c r="R8" i="5"/>
  <c r="Q8" i="5"/>
  <c r="AD8" i="5" s="1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Z7" i="5"/>
  <c r="Y7" i="5"/>
  <c r="X7" i="5"/>
  <c r="AE7" i="5" s="1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Z6" i="5"/>
  <c r="Y6" i="5"/>
  <c r="X6" i="5"/>
  <c r="W6" i="5"/>
  <c r="V6" i="5"/>
  <c r="U6" i="5"/>
  <c r="T6" i="5"/>
  <c r="S6" i="5"/>
  <c r="R6" i="5"/>
  <c r="Q6" i="5"/>
  <c r="AD6" i="5" s="1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A6" i="5" s="1"/>
  <c r="AE5" i="5"/>
  <c r="Z5" i="5"/>
  <c r="Y5" i="5"/>
  <c r="X5" i="5"/>
  <c r="W5" i="5"/>
  <c r="V5" i="5"/>
  <c r="U5" i="5"/>
  <c r="T5" i="5"/>
  <c r="S5" i="5"/>
  <c r="AD5" i="5" s="1"/>
  <c r="R5" i="5"/>
  <c r="Q5" i="5"/>
  <c r="P5" i="5"/>
  <c r="O5" i="5"/>
  <c r="N5" i="5"/>
  <c r="M5" i="5"/>
  <c r="L5" i="5"/>
  <c r="AC5" i="5" s="1"/>
  <c r="K5" i="5"/>
  <c r="J5" i="5"/>
  <c r="I5" i="5"/>
  <c r="H5" i="5"/>
  <c r="G5" i="5"/>
  <c r="F5" i="5"/>
  <c r="E5" i="5"/>
  <c r="D5" i="5"/>
  <c r="C5" i="5"/>
  <c r="B5" i="5"/>
  <c r="Z4" i="5"/>
  <c r="Y4" i="5"/>
  <c r="X4" i="5"/>
  <c r="W4" i="5"/>
  <c r="V4" i="5"/>
  <c r="AE4" i="5" s="1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Z3" i="5"/>
  <c r="Y3" i="5"/>
  <c r="X3" i="5"/>
  <c r="W3" i="5"/>
  <c r="AE3" i="5" s="1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AB3" i="5" s="1"/>
  <c r="F3" i="5"/>
  <c r="E3" i="5"/>
  <c r="D3" i="5"/>
  <c r="C3" i="5"/>
  <c r="B3" i="5"/>
  <c r="Z2" i="5"/>
  <c r="Y2" i="5"/>
  <c r="X2" i="5"/>
  <c r="W2" i="5"/>
  <c r="V2" i="5"/>
  <c r="U2" i="5"/>
  <c r="T2" i="5"/>
  <c r="S2" i="5"/>
  <c r="R2" i="5"/>
  <c r="Q2" i="5"/>
  <c r="AD2" i="5" s="1"/>
  <c r="P2" i="5"/>
  <c r="AC2" i="5" s="1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A2" i="5" s="1"/>
  <c r="B102" i="1"/>
  <c r="L101" i="1"/>
  <c r="K101" i="1"/>
  <c r="J101" i="1"/>
  <c r="L100" i="1"/>
  <c r="J100" i="1"/>
  <c r="K100" i="1" s="1"/>
  <c r="L99" i="1"/>
  <c r="J99" i="1"/>
  <c r="K99" i="1" s="1"/>
  <c r="L98" i="1"/>
  <c r="J98" i="1"/>
  <c r="K98" i="1" s="1"/>
  <c r="L97" i="1"/>
  <c r="J97" i="1"/>
  <c r="K97" i="1" s="1"/>
  <c r="L96" i="1"/>
  <c r="K96" i="1"/>
  <c r="J96" i="1"/>
  <c r="L95" i="1"/>
  <c r="K95" i="1"/>
  <c r="J95" i="1"/>
  <c r="L94" i="1"/>
  <c r="J94" i="1"/>
  <c r="K94" i="1" s="1"/>
  <c r="L93" i="1"/>
  <c r="K93" i="1"/>
  <c r="J93" i="1"/>
  <c r="L92" i="1"/>
  <c r="J92" i="1"/>
  <c r="K92" i="1" s="1"/>
  <c r="L91" i="1"/>
  <c r="J91" i="1"/>
  <c r="K91" i="1" s="1"/>
  <c r="L90" i="1"/>
  <c r="J90" i="1"/>
  <c r="K90" i="1" s="1"/>
  <c r="L89" i="1"/>
  <c r="K89" i="1"/>
  <c r="J89" i="1"/>
  <c r="L88" i="1"/>
  <c r="K88" i="1"/>
  <c r="J88" i="1"/>
  <c r="L87" i="1"/>
  <c r="K87" i="1"/>
  <c r="J87" i="1"/>
  <c r="L86" i="1"/>
  <c r="J86" i="1"/>
  <c r="K86" i="1" s="1"/>
  <c r="L85" i="1"/>
  <c r="K85" i="1"/>
  <c r="J85" i="1"/>
  <c r="L84" i="1"/>
  <c r="J84" i="1"/>
  <c r="K84" i="1" s="1"/>
  <c r="L83" i="1"/>
  <c r="J83" i="1"/>
  <c r="K83" i="1" s="1"/>
  <c r="L82" i="1"/>
  <c r="J82" i="1"/>
  <c r="K82" i="1" s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J76" i="1"/>
  <c r="K76" i="1" s="1"/>
  <c r="L75" i="1"/>
  <c r="K75" i="1"/>
  <c r="J75" i="1"/>
  <c r="L74" i="1"/>
  <c r="J74" i="1"/>
  <c r="K74" i="1" s="1"/>
  <c r="L73" i="1"/>
  <c r="J73" i="1"/>
  <c r="K73" i="1" s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J68" i="1"/>
  <c r="K68" i="1" s="1"/>
  <c r="L67" i="1"/>
  <c r="K67" i="1"/>
  <c r="J67" i="1"/>
  <c r="L66" i="1"/>
  <c r="J66" i="1"/>
  <c r="K66" i="1" s="1"/>
  <c r="L65" i="1"/>
  <c r="J65" i="1"/>
  <c r="K65" i="1" s="1"/>
  <c r="L64" i="1"/>
  <c r="K64" i="1"/>
  <c r="J64" i="1"/>
  <c r="L63" i="1"/>
  <c r="K63" i="1"/>
  <c r="J63" i="1"/>
  <c r="L62" i="1"/>
  <c r="J62" i="1"/>
  <c r="K62" i="1" s="1"/>
  <c r="L61" i="1"/>
  <c r="K61" i="1"/>
  <c r="J61" i="1"/>
  <c r="L60" i="1"/>
  <c r="J60" i="1"/>
  <c r="K60" i="1" s="1"/>
  <c r="L59" i="1"/>
  <c r="J59" i="1"/>
  <c r="K59" i="1" s="1"/>
  <c r="L58" i="1"/>
  <c r="J58" i="1"/>
  <c r="K58" i="1" s="1"/>
  <c r="L57" i="1"/>
  <c r="K57" i="1"/>
  <c r="J57" i="1"/>
  <c r="L56" i="1"/>
  <c r="K56" i="1"/>
  <c r="J56" i="1"/>
  <c r="L55" i="1"/>
  <c r="K55" i="1"/>
  <c r="J55" i="1"/>
  <c r="L54" i="1"/>
  <c r="J54" i="1"/>
  <c r="K54" i="1" s="1"/>
  <c r="L53" i="1"/>
  <c r="K53" i="1"/>
  <c r="J53" i="1"/>
  <c r="L52" i="1"/>
  <c r="J52" i="1"/>
  <c r="K52" i="1" s="1"/>
  <c r="L51" i="1"/>
  <c r="J51" i="1"/>
  <c r="K51" i="1" s="1"/>
  <c r="L50" i="1"/>
  <c r="J50" i="1"/>
  <c r="K50" i="1" s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J44" i="1"/>
  <c r="K44" i="1" s="1"/>
  <c r="L43" i="1"/>
  <c r="K43" i="1"/>
  <c r="J43" i="1"/>
  <c r="L42" i="1"/>
  <c r="J42" i="1"/>
  <c r="K42" i="1" s="1"/>
  <c r="L41" i="1"/>
  <c r="J41" i="1"/>
  <c r="K41" i="1" s="1"/>
  <c r="L40" i="1"/>
  <c r="K40" i="1"/>
  <c r="J40" i="1"/>
  <c r="L39" i="1"/>
  <c r="K39" i="1"/>
  <c r="J39" i="1"/>
  <c r="L38" i="1"/>
  <c r="J38" i="1"/>
  <c r="K38" i="1" s="1"/>
  <c r="L37" i="1"/>
  <c r="K37" i="1"/>
  <c r="J37" i="1"/>
  <c r="L36" i="1"/>
  <c r="J36" i="1"/>
  <c r="K36" i="1" s="1"/>
  <c r="L35" i="1"/>
  <c r="J35" i="1"/>
  <c r="K35" i="1" s="1"/>
  <c r="L34" i="1"/>
  <c r="J34" i="1"/>
  <c r="K34" i="1" s="1"/>
  <c r="L33" i="1"/>
  <c r="J33" i="1"/>
  <c r="K33" i="1" s="1"/>
  <c r="L32" i="1"/>
  <c r="K32" i="1"/>
  <c r="J32" i="1"/>
  <c r="L31" i="1"/>
  <c r="K31" i="1"/>
  <c r="J31" i="1"/>
  <c r="L30" i="1"/>
  <c r="J30" i="1"/>
  <c r="K30" i="1" s="1"/>
  <c r="L29" i="1"/>
  <c r="K29" i="1"/>
  <c r="J29" i="1"/>
  <c r="L28" i="1"/>
  <c r="J28" i="1"/>
  <c r="K28" i="1" s="1"/>
  <c r="L27" i="1"/>
  <c r="J27" i="1"/>
  <c r="K27" i="1" s="1"/>
  <c r="L26" i="1"/>
  <c r="J26" i="1"/>
  <c r="K26" i="1" s="1"/>
  <c r="L25" i="1"/>
  <c r="K25" i="1"/>
  <c r="J25" i="1"/>
  <c r="L24" i="1"/>
  <c r="K24" i="1"/>
  <c r="J24" i="1"/>
  <c r="L23" i="1"/>
  <c r="K23" i="1"/>
  <c r="J23" i="1"/>
  <c r="L22" i="1"/>
  <c r="J22" i="1"/>
  <c r="K22" i="1" s="1"/>
  <c r="L21" i="1"/>
  <c r="K21" i="1"/>
  <c r="J21" i="1"/>
  <c r="L20" i="1"/>
  <c r="J20" i="1"/>
  <c r="K20" i="1" s="1"/>
  <c r="L19" i="1"/>
  <c r="J19" i="1"/>
  <c r="K19" i="1" s="1"/>
  <c r="L18" i="1"/>
  <c r="J18" i="1"/>
  <c r="K18" i="1" s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J12" i="1"/>
  <c r="K12" i="1" s="1"/>
  <c r="L11" i="1"/>
  <c r="K11" i="1"/>
  <c r="J11" i="1"/>
  <c r="L10" i="1"/>
  <c r="J10" i="1"/>
  <c r="K10" i="1" s="1"/>
  <c r="L9" i="1"/>
  <c r="J9" i="1"/>
  <c r="K9" i="1" s="1"/>
  <c r="L8" i="1"/>
  <c r="K8" i="1"/>
  <c r="J8" i="1"/>
  <c r="L7" i="1"/>
  <c r="K7" i="1"/>
  <c r="J7" i="1"/>
  <c r="L6" i="1"/>
  <c r="J6" i="1"/>
  <c r="K6" i="1" s="1"/>
  <c r="L5" i="1"/>
  <c r="K5" i="1"/>
  <c r="J5" i="1"/>
  <c r="L4" i="1"/>
  <c r="J4" i="1"/>
  <c r="K4" i="1" s="1"/>
  <c r="L3" i="1"/>
  <c r="K3" i="1"/>
  <c r="J3" i="1"/>
  <c r="L2" i="1"/>
  <c r="K2" i="1"/>
  <c r="J2" i="1"/>
  <c r="I35" i="4"/>
  <c r="D34" i="4"/>
  <c r="G34" i="4" s="1"/>
  <c r="C34" i="4"/>
  <c r="D33" i="4"/>
  <c r="G33" i="4" s="1"/>
  <c r="C33" i="4"/>
  <c r="D32" i="4"/>
  <c r="F32" i="4" s="1"/>
  <c r="C32" i="4"/>
  <c r="D31" i="4"/>
  <c r="C31" i="4"/>
  <c r="G31" i="4" s="1"/>
  <c r="D30" i="4"/>
  <c r="C30" i="4"/>
  <c r="I28" i="4"/>
  <c r="D27" i="4"/>
  <c r="C27" i="4"/>
  <c r="D26" i="4"/>
  <c r="F26" i="4" s="1"/>
  <c r="C26" i="4"/>
  <c r="E25" i="4"/>
  <c r="D25" i="4"/>
  <c r="C25" i="4"/>
  <c r="D24" i="4"/>
  <c r="G24" i="4" s="1"/>
  <c r="C24" i="4"/>
  <c r="D23" i="4"/>
  <c r="C23" i="4"/>
  <c r="I21" i="4"/>
  <c r="D20" i="4"/>
  <c r="C20" i="4"/>
  <c r="D19" i="4"/>
  <c r="G19" i="4" s="1"/>
  <c r="C19" i="4"/>
  <c r="F18" i="4"/>
  <c r="D18" i="4"/>
  <c r="C18" i="4"/>
  <c r="D17" i="4"/>
  <c r="G17" i="4" s="1"/>
  <c r="C17" i="4"/>
  <c r="D16" i="4"/>
  <c r="D22" i="4" s="1"/>
  <c r="C16" i="4"/>
  <c r="I14" i="4"/>
  <c r="D13" i="4"/>
  <c r="C13" i="4"/>
  <c r="D12" i="4"/>
  <c r="C12" i="4"/>
  <c r="D11" i="4"/>
  <c r="C11" i="4"/>
  <c r="G10" i="4"/>
  <c r="D10" i="4"/>
  <c r="E10" i="4" s="1"/>
  <c r="C10" i="4"/>
  <c r="D9" i="4"/>
  <c r="C9" i="4"/>
  <c r="I7" i="4"/>
  <c r="D6" i="4"/>
  <c r="C6" i="4"/>
  <c r="D5" i="4"/>
  <c r="G5" i="4" s="1"/>
  <c r="C5" i="4"/>
  <c r="D4" i="4"/>
  <c r="C4" i="4"/>
  <c r="D3" i="4"/>
  <c r="C3" i="4"/>
  <c r="D2" i="4"/>
  <c r="C2" i="4"/>
  <c r="E26" i="4" l="1"/>
  <c r="AA7" i="5"/>
  <c r="AA29" i="5"/>
  <c r="AC4" i="5"/>
  <c r="AA5" i="5"/>
  <c r="AB7" i="5"/>
  <c r="AD10" i="5"/>
  <c r="AC12" i="5"/>
  <c r="AA13" i="5"/>
  <c r="AA14" i="5"/>
  <c r="AB16" i="5"/>
  <c r="AE17" i="5"/>
  <c r="AC18" i="5"/>
  <c r="AC19" i="5"/>
  <c r="AA26" i="5"/>
  <c r="AC30" i="5"/>
  <c r="AC31" i="5"/>
  <c r="AD32" i="5"/>
  <c r="AE34" i="5"/>
  <c r="AD36" i="5"/>
  <c r="AC40" i="5"/>
  <c r="AD41" i="5"/>
  <c r="AA45" i="5"/>
  <c r="AA46" i="5"/>
  <c r="AB48" i="5"/>
  <c r="AA51" i="5"/>
  <c r="AD57" i="5"/>
  <c r="AB59" i="5"/>
  <c r="AC61" i="5"/>
  <c r="AA63" i="5"/>
  <c r="AE66" i="5"/>
  <c r="AD70" i="5"/>
  <c r="AB71" i="5"/>
  <c r="AE71" i="5"/>
  <c r="AE72" i="5"/>
  <c r="AA75" i="5"/>
  <c r="AE78" i="5"/>
  <c r="AC79" i="5"/>
  <c r="AD88" i="5"/>
  <c r="AB90" i="5"/>
  <c r="AC93" i="5"/>
  <c r="AA95" i="5"/>
  <c r="AE98" i="5"/>
  <c r="AA100" i="5"/>
  <c r="AD100" i="5"/>
  <c r="AB98" i="5"/>
  <c r="AC100" i="5"/>
  <c r="AA57" i="5"/>
  <c r="AC62" i="5"/>
  <c r="AC94" i="5"/>
  <c r="AA22" i="5"/>
  <c r="AC26" i="5"/>
  <c r="AA41" i="5"/>
  <c r="G12" i="4"/>
  <c r="AC22" i="5"/>
  <c r="AC32" i="5"/>
  <c r="E5" i="4"/>
  <c r="E12" i="4"/>
  <c r="AA3" i="5"/>
  <c r="AB4" i="5"/>
  <c r="AD4" i="5"/>
  <c r="AC6" i="5"/>
  <c r="AA8" i="5"/>
  <c r="AD12" i="5"/>
  <c r="AB14" i="5"/>
  <c r="AA17" i="5"/>
  <c r="AE22" i="5"/>
  <c r="AD25" i="5"/>
  <c r="AC28" i="5"/>
  <c r="AD28" i="5"/>
  <c r="AC29" i="5"/>
  <c r="AA30" i="5"/>
  <c r="AE32" i="5"/>
  <c r="AE36" i="5"/>
  <c r="AC42" i="5"/>
  <c r="AC43" i="5"/>
  <c r="AD44" i="5"/>
  <c r="AB51" i="5"/>
  <c r="AE51" i="5"/>
  <c r="AE52" i="5"/>
  <c r="AC53" i="5"/>
  <c r="AD55" i="5"/>
  <c r="AC58" i="5"/>
  <c r="AC59" i="5"/>
  <c r="AA60" i="5"/>
  <c r="AD61" i="5"/>
  <c r="AB63" i="5"/>
  <c r="AC65" i="5"/>
  <c r="AD67" i="5"/>
  <c r="AE70" i="5"/>
  <c r="AB75" i="5"/>
  <c r="AC77" i="5"/>
  <c r="AD79" i="5"/>
  <c r="AB81" i="5"/>
  <c r="AE82" i="5"/>
  <c r="AA92" i="5"/>
  <c r="AD93" i="5"/>
  <c r="AB95" i="5"/>
  <c r="AC97" i="5"/>
  <c r="AD99" i="5"/>
  <c r="AE39" i="5"/>
  <c r="AC14" i="5"/>
  <c r="AE79" i="5"/>
  <c r="AC10" i="5"/>
  <c r="AA77" i="5"/>
  <c r="AC82" i="5"/>
  <c r="AA97" i="5"/>
  <c r="F12" i="4"/>
  <c r="AA4" i="5"/>
  <c r="AC7" i="5"/>
  <c r="AE13" i="5"/>
  <c r="AA18" i="5"/>
  <c r="AE19" i="5"/>
  <c r="AB22" i="5"/>
  <c r="AE28" i="5"/>
  <c r="AB32" i="5"/>
  <c r="AB36" i="5"/>
  <c r="AA40" i="5"/>
  <c r="AE42" i="5"/>
  <c r="AA49" i="5"/>
  <c r="AA50" i="5"/>
  <c r="AB52" i="5"/>
  <c r="AE58" i="5"/>
  <c r="AE64" i="5"/>
  <c r="AA67" i="5"/>
  <c r="AD68" i="5"/>
  <c r="AB70" i="5"/>
  <c r="AC72" i="5"/>
  <c r="AA73" i="5"/>
  <c r="AE76" i="5"/>
  <c r="AA79" i="5"/>
  <c r="AD80" i="5"/>
  <c r="AB82" i="5"/>
  <c r="AC84" i="5"/>
  <c r="AA85" i="5"/>
  <c r="AD87" i="5"/>
  <c r="AE89" i="5"/>
  <c r="AC90" i="5"/>
  <c r="AE96" i="5"/>
  <c r="AA99" i="5"/>
  <c r="AD20" i="5"/>
  <c r="E19" i="4"/>
  <c r="AA33" i="5"/>
  <c r="AA37" i="5"/>
  <c r="AA42" i="5"/>
  <c r="AE55" i="5"/>
  <c r="AE67" i="5"/>
  <c r="AA89" i="5"/>
  <c r="F19" i="4"/>
  <c r="AC36" i="5"/>
  <c r="AA53" i="5"/>
  <c r="AA65" i="5"/>
  <c r="D7" i="4"/>
  <c r="F5" i="4"/>
  <c r="F3" i="4"/>
  <c r="AC8" i="5"/>
  <c r="AA9" i="5"/>
  <c r="AE16" i="5"/>
  <c r="AA19" i="5"/>
  <c r="AD21" i="5"/>
  <c r="AE23" i="5"/>
  <c r="AC24" i="5"/>
  <c r="AD24" i="5"/>
  <c r="AA25" i="5"/>
  <c r="AB28" i="5"/>
  <c r="AC34" i="5"/>
  <c r="AC39" i="5"/>
  <c r="AB42" i="5"/>
  <c r="AD46" i="5"/>
  <c r="AB47" i="5"/>
  <c r="AE47" i="5"/>
  <c r="AE48" i="5"/>
  <c r="AC49" i="5"/>
  <c r="AD51" i="5"/>
  <c r="AA56" i="5"/>
  <c r="AC60" i="5"/>
  <c r="AA61" i="5"/>
  <c r="AA62" i="5"/>
  <c r="AD63" i="5"/>
  <c r="AE65" i="5"/>
  <c r="AA68" i="5"/>
  <c r="AC73" i="5"/>
  <c r="AD75" i="5"/>
  <c r="AB76" i="5"/>
  <c r="AE77" i="5"/>
  <c r="AA80" i="5"/>
  <c r="AD81" i="5"/>
  <c r="AB83" i="5"/>
  <c r="AC85" i="5"/>
  <c r="AA87" i="5"/>
  <c r="AE90" i="5"/>
  <c r="AC92" i="5"/>
  <c r="AA93" i="5"/>
  <c r="AA94" i="5"/>
  <c r="AD95" i="5"/>
  <c r="AE97" i="5"/>
  <c r="G2" i="4"/>
  <c r="D8" i="4"/>
  <c r="G32" i="4"/>
  <c r="E32" i="4"/>
  <c r="G16" i="4"/>
  <c r="D21" i="4"/>
  <c r="F16" i="4"/>
  <c r="AE8" i="5"/>
  <c r="AB8" i="5"/>
  <c r="D29" i="4"/>
  <c r="F23" i="4"/>
  <c r="D28" i="4"/>
  <c r="G23" i="4"/>
  <c r="G30" i="4"/>
  <c r="D36" i="4"/>
  <c r="G3" i="4"/>
  <c r="E23" i="4"/>
  <c r="E30" i="4"/>
  <c r="AA11" i="5"/>
  <c r="AA15" i="5"/>
  <c r="AC20" i="5"/>
  <c r="AA31" i="5"/>
  <c r="AA35" i="5"/>
  <c r="E3" i="4"/>
  <c r="G4" i="4"/>
  <c r="O3" i="1"/>
  <c r="G13" i="4"/>
  <c r="F20" i="4"/>
  <c r="G20" i="4"/>
  <c r="E20" i="4"/>
  <c r="AD13" i="5"/>
  <c r="AC16" i="5"/>
  <c r="AE25" i="5"/>
  <c r="D15" i="4"/>
  <c r="F9" i="4"/>
  <c r="D14" i="4"/>
  <c r="G9" i="4"/>
  <c r="E9" i="4"/>
  <c r="E16" i="4"/>
  <c r="F30" i="4"/>
  <c r="E2" i="4"/>
  <c r="E4" i="4"/>
  <c r="F2" i="4"/>
  <c r="F4" i="4"/>
  <c r="G11" i="4"/>
  <c r="F11" i="4"/>
  <c r="E11" i="4"/>
  <c r="E18" i="4"/>
  <c r="G18" i="4"/>
  <c r="G25" i="4"/>
  <c r="F25" i="4"/>
  <c r="G27" i="4"/>
  <c r="F27" i="4"/>
  <c r="E27" i="4"/>
  <c r="D35" i="4"/>
  <c r="AC3" i="5"/>
  <c r="AB19" i="5"/>
  <c r="AE21" i="5"/>
  <c r="AB2" i="5"/>
  <c r="AE2" i="5"/>
  <c r="AD15" i="5"/>
  <c r="AB17" i="5"/>
  <c r="AA24" i="5"/>
  <c r="AB29" i="5"/>
  <c r="AD31" i="5"/>
  <c r="AD37" i="5"/>
  <c r="AB38" i="5"/>
  <c r="AC44" i="5"/>
  <c r="AD49" i="5"/>
  <c r="AB50" i="5"/>
  <c r="AA52" i="5"/>
  <c r="AE54" i="5"/>
  <c r="AC55" i="5"/>
  <c r="AB57" i="5"/>
  <c r="AC67" i="5"/>
  <c r="AD69" i="5"/>
  <c r="AA82" i="5"/>
  <c r="AE84" i="5"/>
  <c r="AB88" i="5"/>
  <c r="AC99" i="5"/>
  <c r="F34" i="4"/>
  <c r="E34" i="4"/>
  <c r="AB6" i="5"/>
  <c r="AE6" i="5"/>
  <c r="AD19" i="5"/>
  <c r="AB21" i="5"/>
  <c r="AB25" i="5"/>
  <c r="AD27" i="5"/>
  <c r="AD33" i="5"/>
  <c r="AE41" i="5"/>
  <c r="AD43" i="5"/>
  <c r="AC48" i="5"/>
  <c r="AD53" i="5"/>
  <c r="AD65" i="5"/>
  <c r="AD74" i="5"/>
  <c r="AB84" i="5"/>
  <c r="AB89" i="5"/>
  <c r="AD97" i="5"/>
  <c r="AB10" i="5"/>
  <c r="AE10" i="5"/>
  <c r="AD38" i="5"/>
  <c r="AB41" i="5"/>
  <c r="AA43" i="5"/>
  <c r="AE44" i="5"/>
  <c r="AD50" i="5"/>
  <c r="AC52" i="5"/>
  <c r="AB58" i="5"/>
  <c r="AA74" i="5"/>
  <c r="AC91" i="5"/>
  <c r="AE99" i="5"/>
  <c r="AD58" i="5"/>
  <c r="AD62" i="5"/>
  <c r="AB77" i="5"/>
  <c r="AD94" i="5"/>
  <c r="AD3" i="5"/>
  <c r="AB5" i="5"/>
  <c r="AA12" i="5"/>
  <c r="AC17" i="5"/>
  <c r="AD30" i="5"/>
  <c r="AA36" i="5"/>
  <c r="AD39" i="5"/>
  <c r="AB45" i="5"/>
  <c r="AC57" i="5"/>
  <c r="F6" i="4"/>
  <c r="E6" i="4"/>
  <c r="E13" i="4"/>
  <c r="E31" i="4"/>
  <c r="E33" i="4"/>
  <c r="AD14" i="5"/>
  <c r="G6" i="4"/>
  <c r="F13" i="4"/>
  <c r="E17" i="4"/>
  <c r="F24" i="4"/>
  <c r="F31" i="4"/>
  <c r="F33" i="4"/>
  <c r="AD7" i="5"/>
  <c r="AB9" i="5"/>
  <c r="AA16" i="5"/>
  <c r="AD18" i="5"/>
  <c r="AC21" i="5"/>
  <c r="AC25" i="5"/>
  <c r="AD26" i="5"/>
  <c r="AA32" i="5"/>
  <c r="AB37" i="5"/>
  <c r="AE37" i="5"/>
  <c r="AD42" i="5"/>
  <c r="AA44" i="5"/>
  <c r="AE46" i="5"/>
  <c r="AC47" i="5"/>
  <c r="AB49" i="5"/>
  <c r="AE53" i="5"/>
  <c r="AA55" i="5"/>
  <c r="AB56" i="5"/>
  <c r="AD59" i="5"/>
  <c r="AE60" i="5"/>
  <c r="AB64" i="5"/>
  <c r="AB69" i="5"/>
  <c r="AC75" i="5"/>
  <c r="AD77" i="5"/>
  <c r="AD86" i="5"/>
  <c r="AA90" i="5"/>
  <c r="AE92" i="5"/>
  <c r="AB96" i="5"/>
  <c r="F10" i="4"/>
  <c r="F17" i="4"/>
  <c r="E24" i="4"/>
  <c r="G26" i="4"/>
  <c r="AD11" i="5"/>
  <c r="AB13" i="5"/>
  <c r="AA20" i="5"/>
  <c r="AD22" i="5"/>
  <c r="AA28" i="5"/>
  <c r="AB33" i="5"/>
  <c r="AD35" i="5"/>
  <c r="AE38" i="5"/>
  <c r="AA39" i="5"/>
  <c r="AB40" i="5"/>
  <c r="AC41" i="5"/>
  <c r="AD45" i="5"/>
  <c r="AB46" i="5"/>
  <c r="AA48" i="5"/>
  <c r="AE50" i="5"/>
  <c r="AC51" i="5"/>
  <c r="AB53" i="5"/>
  <c r="AE57" i="5"/>
  <c r="AA59" i="5"/>
  <c r="AB60" i="5"/>
  <c r="AB65" i="5"/>
  <c r="AC71" i="5"/>
  <c r="AD73" i="5"/>
  <c r="AD82" i="5"/>
  <c r="AA86" i="5"/>
  <c r="AE88" i="5"/>
  <c r="AB92" i="5"/>
  <c r="AB97" i="5"/>
</calcChain>
</file>

<file path=xl/sharedStrings.xml><?xml version="1.0" encoding="utf-8"?>
<sst xmlns="http://schemas.openxmlformats.org/spreadsheetml/2006/main" count="183" uniqueCount="110">
  <si>
    <t>Condition</t>
  </si>
  <si>
    <t>Trait</t>
  </si>
  <si>
    <t>n</t>
  </si>
  <si>
    <t>r</t>
  </si>
  <si>
    <t>ci_low</t>
  </si>
  <si>
    <t>ci_high</t>
  </si>
  <si>
    <t>p_parametric</t>
  </si>
  <si>
    <t>p_holm</t>
  </si>
  <si>
    <t>sig</t>
  </si>
  <si>
    <t>26 turns</t>
  </si>
  <si>
    <t>Extraversion</t>
  </si>
  <si>
    <t>***</t>
  </si>
  <si>
    <t>Agreeableness</t>
  </si>
  <si>
    <t>Conscientiousness</t>
  </si>
  <si>
    <t>*</t>
  </si>
  <si>
    <t>Neuroticism</t>
  </si>
  <si>
    <t>Openness</t>
  </si>
  <si>
    <t>**</t>
  </si>
  <si>
    <t>Mean across traits</t>
  </si>
  <si>
    <t>SD</t>
  </si>
  <si>
    <t>13 turns</t>
  </si>
  <si>
    <t>ns</t>
  </si>
  <si>
    <t>5 turns</t>
  </si>
  <si>
    <t>Participant only</t>
  </si>
  <si>
    <t>Content words</t>
  </si>
  <si>
    <t>participant_ID</t>
  </si>
  <si>
    <t>participant_age</t>
  </si>
  <si>
    <t>participant_gender</t>
  </si>
  <si>
    <t>participant_start_time</t>
  </si>
  <si>
    <t>participant_end_time</t>
  </si>
  <si>
    <t>filtered out</t>
  </si>
  <si>
    <t>rejection reason</t>
  </si>
  <si>
    <t>participant_words</t>
  </si>
  <si>
    <t>passed_attention</t>
  </si>
  <si>
    <t>enough_words</t>
  </si>
  <si>
    <t>included</t>
  </si>
  <si>
    <t>gender_label</t>
  </si>
  <si>
    <t>Word minimum</t>
  </si>
  <si>
    <t>participant_words threshold</t>
  </si>
  <si>
    <t>Participants included</t>
  </si>
  <si>
    <t>too few words</t>
  </si>
  <si>
    <t>Notes</t>
  </si>
  <si>
    <t>self_extraversion</t>
  </si>
  <si>
    <t>self_agreeableness</t>
  </si>
  <si>
    <t>self_conscientiousness</t>
  </si>
  <si>
    <t>self_neuroticism</t>
  </si>
  <si>
    <t>self_openness</t>
  </si>
  <si>
    <t>pred26_extraversion</t>
  </si>
  <si>
    <t>pred26_agreeableness</t>
  </si>
  <si>
    <t>pred26_conscientiousness</t>
  </si>
  <si>
    <t>pred26_neuroticism</t>
  </si>
  <si>
    <t>pred26_openness</t>
  </si>
  <si>
    <t>pred13_extraversion</t>
  </si>
  <si>
    <t>pred13_agreeableness</t>
  </si>
  <si>
    <t>pred13_conscientiousness</t>
  </si>
  <si>
    <t>pred13_neuroticism</t>
  </si>
  <si>
    <t>pred13_openness</t>
  </si>
  <si>
    <t>pred5_extraversion</t>
  </si>
  <si>
    <t>pred5_agreeableness</t>
  </si>
  <si>
    <t>pred5_conscientiousness</t>
  </si>
  <si>
    <t>pred5_neuroticism</t>
  </si>
  <si>
    <t>pred5_openness</t>
  </si>
  <si>
    <t>predPartOnly_extraversion</t>
  </si>
  <si>
    <t>predPartOnly_agreeableness</t>
  </si>
  <si>
    <t>predPartOnly_conscientiousness</t>
  </si>
  <si>
    <t>predPartOnly_neuroticism</t>
  </si>
  <si>
    <t>predPartOnly_openness</t>
  </si>
  <si>
    <t>predContent_extraversion</t>
  </si>
  <si>
    <t>predContent_agreeableness</t>
  </si>
  <si>
    <t>predContent_conscientiousness</t>
  </si>
  <si>
    <t>predContent_neuroticism</t>
  </si>
  <si>
    <t>predContent_openness</t>
  </si>
  <si>
    <t>26_turn_extraversion</t>
  </si>
  <si>
    <t>26_turn_agreeableness</t>
  </si>
  <si>
    <t>26_turn_conscientiousness</t>
  </si>
  <si>
    <t>26_turn_neuroticism</t>
  </si>
  <si>
    <t>26_turn_openness</t>
  </si>
  <si>
    <t>13_turn_extraversion</t>
  </si>
  <si>
    <t>13_turn_agreeableness</t>
  </si>
  <si>
    <t>13_turn_conscientiousness</t>
  </si>
  <si>
    <t>13_turn_neuroticism</t>
  </si>
  <si>
    <t>13_turn_openness</t>
  </si>
  <si>
    <t>5_turn_extraversion</t>
  </si>
  <si>
    <t>5_turn_agreeableness</t>
  </si>
  <si>
    <t>5_turn_conscientiousness</t>
  </si>
  <si>
    <t>5_turn_neuroticism</t>
  </si>
  <si>
    <t>5_turn_openness</t>
  </si>
  <si>
    <t>participant_only_extraversion</t>
  </si>
  <si>
    <t>participant_only_agreeableness</t>
  </si>
  <si>
    <t>participant_only_conscientiousness</t>
  </si>
  <si>
    <t>participant_only_neuroticism</t>
  </si>
  <si>
    <t>participant_only_openness</t>
  </si>
  <si>
    <t>content_words_pron_extraversion</t>
  </si>
  <si>
    <t>content_words_pron_agreeableness</t>
  </si>
  <si>
    <t>content_words_pron_conscientiousness</t>
  </si>
  <si>
    <t>content_words_pron_neuroticism</t>
  </si>
  <si>
    <t>content_words_pron_openness</t>
  </si>
  <si>
    <t>mean_26_turn</t>
  </si>
  <si>
    <t>mean_13_turn</t>
  </si>
  <si>
    <t>mean_5_turn</t>
  </si>
  <si>
    <t>mean_participant_only</t>
  </si>
  <si>
    <t>mean_content_words_pron</t>
  </si>
  <si>
    <t>One row per participant. Each &lt;condition&gt;_&lt;trait&gt; column is the squared prediction error</t>
  </si>
  <si>
    <t>for that participant on that trait: (predicted - self-reported)^2, in BFI points squared.</t>
  </si>
  <si>
    <t>Every cell is a live formula on the BFI Scores sheet; predictions are the 10-run averages.</t>
  </si>
  <si>
    <t>mean_&lt;condition&gt; averages that participant's five traits - the per-participant MSE used in</t>
  </si>
  <si>
    <t>the ANOVAs and paired t-tests. Delete those columns if you only want the raw trait cells.</t>
  </si>
  <si>
    <t>RMSE for one trait across participants = SQRT of that column's AVERAGE.</t>
  </si>
  <si>
    <t xml:space="preserve">predContent: content words and pronouns - nouns, pronouns, verbs, adjectives, adverbs </t>
  </si>
  <si>
    <t xml:space="preserve">predPartOnly: participant messages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</si>
</sst>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</font>
    <font>
      <sz val="10"/>
      <name val="Arial"/>
    </font>
    <font>
      <sz val="10"/>
      <color rgb="FF008000"/>
      <name val="Arial"/>
    </font>
    <font>
      <b/>
      <sz val="10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2" borderId="0" xfId="0" applyFont="1" applyFill="1"/>
    <xf numFmtId="0" fontId="6" fillId="0" borderId="0" xfId="0" applyFont="1"/>
    <xf numFmtId="164" fontId="6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0" fontId="7" fillId="3" borderId="0" xfId="0" applyFont="1" applyFill="1" applyAlignment="1">
      <alignment vertical="center"/>
    </xf>
    <xf numFmtId="0" fontId="8" fillId="0" borderId="0" xfId="0" applyFont="1"/>
    <xf numFmtId="0" fontId="9" fillId="0" borderId="0" xfId="0" applyFont="1"/>
    <xf numFmtId="0" fontId="10" fillId="4" borderId="0" xfId="0" applyFont="1" applyFill="1" applyAlignment="1">
      <alignment vertical="center"/>
    </xf>
    <xf numFmtId="0" fontId="13" fillId="0" borderId="0" xfId="0" applyFont="1"/>
    <xf numFmtId="0" fontId="11" fillId="0" borderId="0" xfId="0" applyFont="1"/>
    <xf numFmtId="164" fontId="12" fillId="0" borderId="0" xfId="0" applyNumberFormat="1" applyFont="1"/>
    <xf numFmtId="0" fontId="14" fillId="0" borderId="0" xfId="0" applyFont="1"/>
    <xf numFmtId="164" fontId="11" fillId="0" borderId="0" xfId="0" applyNumberFormat="1" applyFont="1"/>
    <xf numFmtId="0" fontId="15" fillId="5" borderId="0" xfId="0" applyFont="1" applyFill="1" applyAlignment="1">
      <alignment vertical="center"/>
    </xf>
    <xf numFmtId="165" fontId="16" fillId="0" borderId="0" xfId="0" applyNumberFormat="1" applyFont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pane xSplit="1" ySplit="1" topLeftCell="B79" activePane="bottomRight" state="frozen"/>
      <selection pane="topRight"/>
      <selection pane="bottomLeft"/>
      <selection pane="bottomRight" activeCell="M10" sqref="M10"/>
    </sheetView>
  </sheetViews>
  <sheetFormatPr baseColWidth="10" defaultColWidth="8.83203125" defaultRowHeight="15" x14ac:dyDescent="0.2"/>
  <cols>
    <col min="1" max="1" width="17" customWidth="1"/>
    <col min="2" max="2" width="27.83203125" customWidth="1"/>
    <col min="3" max="3" width="21" customWidth="1"/>
    <col min="4" max="4" width="25" customWidth="1"/>
    <col min="5" max="5" width="23" customWidth="1"/>
    <col min="6" max="6" width="15" customWidth="1"/>
    <col min="7" max="7" width="19" customWidth="1"/>
    <col min="8" max="8" width="20" customWidth="1"/>
    <col min="9" max="9" width="19" customWidth="1"/>
    <col min="10" max="10" width="15" customWidth="1"/>
    <col min="11" max="11" width="12" customWidth="1"/>
    <col min="12" max="12" width="20" customWidth="1"/>
    <col min="14" max="14" width="28" customWidth="1"/>
    <col min="15" max="15" width="10" customWidth="1"/>
  </cols>
  <sheetData>
    <row r="1" spans="1:15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2" t="s">
        <v>36</v>
      </c>
      <c r="N1" s="2" t="s">
        <v>37</v>
      </c>
    </row>
    <row r="2" spans="1:15" x14ac:dyDescent="0.2">
      <c r="A2" s="3">
        <v>10280</v>
      </c>
      <c r="B2" s="3">
        <v>27</v>
      </c>
      <c r="C2" s="3">
        <v>1</v>
      </c>
      <c r="D2" s="3">
        <v>1780000000000</v>
      </c>
      <c r="E2" s="3">
        <v>1780000000000</v>
      </c>
      <c r="F2" s="3">
        <v>0</v>
      </c>
      <c r="G2" s="3"/>
      <c r="H2" s="4">
        <v>307</v>
      </c>
      <c r="I2" s="3">
        <v>1</v>
      </c>
      <c r="J2" s="3">
        <f t="shared" ref="J2:J33" si="0">IF(H2&gt;=$O$2,1,0)</f>
        <v>1</v>
      </c>
      <c r="K2" s="3">
        <f t="shared" ref="K2:K33" si="1">IF(AND(I2=1,J2=1),1,0)</f>
        <v>1</v>
      </c>
      <c r="L2" s="13" t="str">
        <f t="shared" ref="L2:L33" si="2">IF(C2=1,"Female",IF(C2=2,"Male","Code 3 (unconfirmed)"))</f>
        <v>Female</v>
      </c>
      <c r="N2" s="2" t="s">
        <v>38</v>
      </c>
      <c r="O2" s="4">
        <v>130</v>
      </c>
    </row>
    <row r="3" spans="1:15" x14ac:dyDescent="0.2">
      <c r="A3" s="3">
        <v>10366</v>
      </c>
      <c r="B3" s="3">
        <v>49</v>
      </c>
      <c r="C3" s="3">
        <v>2</v>
      </c>
      <c r="D3" s="3">
        <v>1780000000000</v>
      </c>
      <c r="E3" s="3">
        <v>1780000000000</v>
      </c>
      <c r="F3" s="3">
        <v>0</v>
      </c>
      <c r="G3" s="3"/>
      <c r="H3" s="4">
        <v>1109</v>
      </c>
      <c r="I3" s="3">
        <v>1</v>
      </c>
      <c r="J3" s="3">
        <f t="shared" si="0"/>
        <v>1</v>
      </c>
      <c r="K3" s="3">
        <f t="shared" si="1"/>
        <v>1</v>
      </c>
      <c r="L3" s="13" t="str">
        <f t="shared" si="2"/>
        <v>Male</v>
      </c>
      <c r="N3" s="2" t="s">
        <v>39</v>
      </c>
      <c r="O3" s="3">
        <f>SUM(K2:K101)</f>
        <v>99</v>
      </c>
    </row>
    <row r="4" spans="1:15" x14ac:dyDescent="0.2">
      <c r="A4" s="3">
        <v>10454</v>
      </c>
      <c r="B4" s="3">
        <v>32</v>
      </c>
      <c r="C4" s="3">
        <v>2</v>
      </c>
      <c r="D4" s="3">
        <v>1780000000000</v>
      </c>
      <c r="E4" s="3">
        <v>1780000000000</v>
      </c>
      <c r="F4" s="3">
        <v>0</v>
      </c>
      <c r="G4" s="3"/>
      <c r="H4" s="4">
        <v>913</v>
      </c>
      <c r="I4" s="3">
        <v>1</v>
      </c>
      <c r="J4" s="3">
        <f t="shared" si="0"/>
        <v>1</v>
      </c>
      <c r="K4" s="3">
        <f t="shared" si="1"/>
        <v>1</v>
      </c>
      <c r="L4" s="13" t="str">
        <f t="shared" si="2"/>
        <v>Male</v>
      </c>
    </row>
    <row r="5" spans="1:15" x14ac:dyDescent="0.2">
      <c r="A5" s="3">
        <v>11517</v>
      </c>
      <c r="B5" s="3">
        <v>39</v>
      </c>
      <c r="C5" s="3">
        <v>1</v>
      </c>
      <c r="D5" s="3">
        <v>1780000000000</v>
      </c>
      <c r="E5" s="3">
        <v>1780000000000</v>
      </c>
      <c r="F5" s="3">
        <v>0</v>
      </c>
      <c r="G5" s="3"/>
      <c r="H5" s="4">
        <v>869</v>
      </c>
      <c r="I5" s="3">
        <v>1</v>
      </c>
      <c r="J5" s="3">
        <f t="shared" si="0"/>
        <v>1</v>
      </c>
      <c r="K5" s="3">
        <f t="shared" si="1"/>
        <v>1</v>
      </c>
      <c r="L5" s="13" t="str">
        <f t="shared" si="2"/>
        <v>Female</v>
      </c>
      <c r="N5" s="5"/>
    </row>
    <row r="6" spans="1:15" x14ac:dyDescent="0.2">
      <c r="A6" s="3">
        <v>11525</v>
      </c>
      <c r="B6" s="3">
        <v>29</v>
      </c>
      <c r="C6" s="3">
        <v>2</v>
      </c>
      <c r="D6" s="3">
        <v>1780000000000</v>
      </c>
      <c r="E6" s="3">
        <v>1780000000000</v>
      </c>
      <c r="F6" s="3">
        <v>0</v>
      </c>
      <c r="G6" s="3"/>
      <c r="H6" s="4">
        <v>348</v>
      </c>
      <c r="I6" s="3">
        <v>1</v>
      </c>
      <c r="J6" s="3">
        <f t="shared" si="0"/>
        <v>1</v>
      </c>
      <c r="K6" s="3">
        <f t="shared" si="1"/>
        <v>1</v>
      </c>
      <c r="L6" s="13" t="str">
        <f t="shared" si="2"/>
        <v>Male</v>
      </c>
      <c r="N6" s="5"/>
    </row>
    <row r="7" spans="1:15" x14ac:dyDescent="0.2">
      <c r="A7" s="3">
        <v>11542</v>
      </c>
      <c r="B7" s="3">
        <v>21</v>
      </c>
      <c r="C7" s="3">
        <v>1</v>
      </c>
      <c r="D7" s="3">
        <v>1780000000000</v>
      </c>
      <c r="E7" s="3">
        <v>1780000000000</v>
      </c>
      <c r="F7" s="3">
        <v>0</v>
      </c>
      <c r="G7" s="3"/>
      <c r="H7" s="4">
        <v>438</v>
      </c>
      <c r="I7" s="3">
        <v>1</v>
      </c>
      <c r="J7" s="3">
        <f t="shared" si="0"/>
        <v>1</v>
      </c>
      <c r="K7" s="3">
        <f t="shared" si="1"/>
        <v>1</v>
      </c>
      <c r="L7" s="13" t="str">
        <f t="shared" si="2"/>
        <v>Female</v>
      </c>
      <c r="N7" s="5"/>
    </row>
    <row r="8" spans="1:15" x14ac:dyDescent="0.2">
      <c r="A8" s="3">
        <v>11843</v>
      </c>
      <c r="B8" s="3">
        <v>32</v>
      </c>
      <c r="C8" s="3">
        <v>2</v>
      </c>
      <c r="D8" s="3">
        <v>1780000000000</v>
      </c>
      <c r="E8" s="3">
        <v>1780000000000</v>
      </c>
      <c r="F8" s="3">
        <v>0</v>
      </c>
      <c r="G8" s="3"/>
      <c r="H8" s="4">
        <v>134</v>
      </c>
      <c r="I8" s="3">
        <v>1</v>
      </c>
      <c r="J8" s="3">
        <f t="shared" si="0"/>
        <v>1</v>
      </c>
      <c r="K8" s="3">
        <f t="shared" si="1"/>
        <v>1</v>
      </c>
      <c r="L8" s="13" t="str">
        <f t="shared" si="2"/>
        <v>Male</v>
      </c>
      <c r="N8" s="5"/>
    </row>
    <row r="9" spans="1:15" x14ac:dyDescent="0.2">
      <c r="A9" s="3">
        <v>12130</v>
      </c>
      <c r="B9" s="3">
        <v>35</v>
      </c>
      <c r="C9" s="3">
        <v>2</v>
      </c>
      <c r="D9" s="3">
        <v>1780000000000</v>
      </c>
      <c r="E9" s="3">
        <v>1780000000000</v>
      </c>
      <c r="F9" s="3">
        <v>0</v>
      </c>
      <c r="G9" s="3"/>
      <c r="H9" s="4">
        <v>433</v>
      </c>
      <c r="I9" s="3">
        <v>1</v>
      </c>
      <c r="J9" s="3">
        <f t="shared" si="0"/>
        <v>1</v>
      </c>
      <c r="K9" s="3">
        <f t="shared" si="1"/>
        <v>1</v>
      </c>
      <c r="L9" s="13" t="str">
        <f t="shared" si="2"/>
        <v>Male</v>
      </c>
      <c r="N9" s="5"/>
    </row>
    <row r="10" spans="1:15" x14ac:dyDescent="0.2">
      <c r="A10" s="3">
        <v>12244</v>
      </c>
      <c r="B10" s="3">
        <v>42</v>
      </c>
      <c r="C10" s="3">
        <v>1</v>
      </c>
      <c r="D10" s="3">
        <v>1780000000000</v>
      </c>
      <c r="E10" s="3">
        <v>1780000000000</v>
      </c>
      <c r="F10" s="3">
        <v>0</v>
      </c>
      <c r="G10" s="3"/>
      <c r="H10" s="4">
        <v>563</v>
      </c>
      <c r="I10" s="3">
        <v>1</v>
      </c>
      <c r="J10" s="3">
        <f t="shared" si="0"/>
        <v>1</v>
      </c>
      <c r="K10" s="3">
        <f t="shared" si="1"/>
        <v>1</v>
      </c>
      <c r="L10" s="13" t="str">
        <f t="shared" si="2"/>
        <v>Female</v>
      </c>
      <c r="N10" s="14"/>
    </row>
    <row r="11" spans="1:15" x14ac:dyDescent="0.2">
      <c r="A11" s="3">
        <v>12247</v>
      </c>
      <c r="B11" s="3">
        <v>40</v>
      </c>
      <c r="C11" s="3">
        <v>1</v>
      </c>
      <c r="D11" s="3">
        <v>1780000000000</v>
      </c>
      <c r="E11" s="3">
        <v>1780000000000</v>
      </c>
      <c r="F11" s="3">
        <v>0</v>
      </c>
      <c r="G11" s="3"/>
      <c r="H11" s="4">
        <v>564</v>
      </c>
      <c r="I11" s="3">
        <v>1</v>
      </c>
      <c r="J11" s="3">
        <f t="shared" si="0"/>
        <v>1</v>
      </c>
      <c r="K11" s="3">
        <f t="shared" si="1"/>
        <v>1</v>
      </c>
      <c r="L11" s="13" t="str">
        <f t="shared" si="2"/>
        <v>Female</v>
      </c>
      <c r="N11" s="5"/>
    </row>
    <row r="12" spans="1:15" x14ac:dyDescent="0.2">
      <c r="A12" s="3">
        <v>13267</v>
      </c>
      <c r="B12" s="3">
        <v>49</v>
      </c>
      <c r="C12" s="3">
        <v>1</v>
      </c>
      <c r="D12" s="3">
        <v>1780000000000</v>
      </c>
      <c r="E12" s="3">
        <v>1780000000000</v>
      </c>
      <c r="F12" s="3">
        <v>0</v>
      </c>
      <c r="G12" s="3"/>
      <c r="H12" s="4">
        <v>551</v>
      </c>
      <c r="I12" s="3">
        <v>1</v>
      </c>
      <c r="J12" s="3">
        <f t="shared" si="0"/>
        <v>1</v>
      </c>
      <c r="K12" s="3">
        <f t="shared" si="1"/>
        <v>1</v>
      </c>
      <c r="L12" s="13" t="str">
        <f t="shared" si="2"/>
        <v>Female</v>
      </c>
      <c r="N12" s="5"/>
    </row>
    <row r="13" spans="1:15" x14ac:dyDescent="0.2">
      <c r="A13" s="3">
        <v>14347</v>
      </c>
      <c r="B13" s="3">
        <v>32</v>
      </c>
      <c r="C13" s="3">
        <v>2</v>
      </c>
      <c r="D13" s="3">
        <v>1780000000000</v>
      </c>
      <c r="E13" s="3">
        <v>1780000000000</v>
      </c>
      <c r="F13" s="3">
        <v>0</v>
      </c>
      <c r="G13" s="3"/>
      <c r="H13" s="4">
        <v>410</v>
      </c>
      <c r="I13" s="3">
        <v>1</v>
      </c>
      <c r="J13" s="3">
        <f t="shared" si="0"/>
        <v>1</v>
      </c>
      <c r="K13" s="3">
        <f t="shared" si="1"/>
        <v>1</v>
      </c>
      <c r="L13" s="13" t="str">
        <f t="shared" si="2"/>
        <v>Male</v>
      </c>
    </row>
    <row r="14" spans="1:15" x14ac:dyDescent="0.2">
      <c r="A14" s="3">
        <v>14820</v>
      </c>
      <c r="B14" s="3">
        <v>38</v>
      </c>
      <c r="C14" s="3">
        <v>2</v>
      </c>
      <c r="D14" s="3">
        <v>1780000000000</v>
      </c>
      <c r="E14" s="3">
        <v>1780000000000</v>
      </c>
      <c r="F14" s="3">
        <v>0</v>
      </c>
      <c r="G14" s="3"/>
      <c r="H14" s="4">
        <v>142</v>
      </c>
      <c r="I14" s="3">
        <v>1</v>
      </c>
      <c r="J14" s="3">
        <f t="shared" si="0"/>
        <v>1</v>
      </c>
      <c r="K14" s="3">
        <f t="shared" si="1"/>
        <v>1</v>
      </c>
      <c r="L14" s="13" t="str">
        <f t="shared" si="2"/>
        <v>Male</v>
      </c>
    </row>
    <row r="15" spans="1:15" x14ac:dyDescent="0.2">
      <c r="A15" s="3">
        <v>16267</v>
      </c>
      <c r="B15" s="3">
        <v>20</v>
      </c>
      <c r="C15" s="3">
        <v>2</v>
      </c>
      <c r="D15" s="3">
        <v>1780000000000</v>
      </c>
      <c r="E15" s="3">
        <v>1780000000000</v>
      </c>
      <c r="F15" s="3">
        <v>0</v>
      </c>
      <c r="G15" s="3"/>
      <c r="H15" s="4">
        <v>601</v>
      </c>
      <c r="I15" s="3">
        <v>1</v>
      </c>
      <c r="J15" s="3">
        <f t="shared" si="0"/>
        <v>1</v>
      </c>
      <c r="K15" s="3">
        <f t="shared" si="1"/>
        <v>1</v>
      </c>
      <c r="L15" s="13" t="str">
        <f t="shared" si="2"/>
        <v>Male</v>
      </c>
    </row>
    <row r="16" spans="1:15" x14ac:dyDescent="0.2">
      <c r="A16" s="3">
        <v>16483</v>
      </c>
      <c r="B16" s="3">
        <v>37</v>
      </c>
      <c r="C16" s="3">
        <v>1</v>
      </c>
      <c r="D16" s="3">
        <v>1780000000000</v>
      </c>
      <c r="E16" s="3">
        <v>1780000000000</v>
      </c>
      <c r="F16" s="3">
        <v>0</v>
      </c>
      <c r="G16" s="3"/>
      <c r="H16" s="4">
        <v>303</v>
      </c>
      <c r="I16" s="3">
        <v>1</v>
      </c>
      <c r="J16" s="3">
        <f t="shared" si="0"/>
        <v>1</v>
      </c>
      <c r="K16" s="3">
        <f t="shared" si="1"/>
        <v>1</v>
      </c>
      <c r="L16" s="13" t="str">
        <f t="shared" si="2"/>
        <v>Female</v>
      </c>
    </row>
    <row r="17" spans="1:12" x14ac:dyDescent="0.2">
      <c r="A17" s="3">
        <v>16588</v>
      </c>
      <c r="B17" s="3">
        <v>31</v>
      </c>
      <c r="C17" s="3">
        <v>2</v>
      </c>
      <c r="D17" s="3">
        <v>1780000000000</v>
      </c>
      <c r="E17" s="3">
        <v>1780000000000</v>
      </c>
      <c r="F17" s="3">
        <v>0</v>
      </c>
      <c r="G17" s="3"/>
      <c r="H17" s="4">
        <v>455</v>
      </c>
      <c r="I17" s="3">
        <v>1</v>
      </c>
      <c r="J17" s="3">
        <f t="shared" si="0"/>
        <v>1</v>
      </c>
      <c r="K17" s="3">
        <f t="shared" si="1"/>
        <v>1</v>
      </c>
      <c r="L17" s="13" t="str">
        <f t="shared" si="2"/>
        <v>Male</v>
      </c>
    </row>
    <row r="18" spans="1:12" x14ac:dyDescent="0.2">
      <c r="A18" s="3">
        <v>16708</v>
      </c>
      <c r="B18" s="3">
        <v>35</v>
      </c>
      <c r="C18" s="3">
        <v>1</v>
      </c>
      <c r="D18" s="3">
        <v>1780000000000</v>
      </c>
      <c r="E18" s="3">
        <v>1780000000000</v>
      </c>
      <c r="F18" s="3">
        <v>0</v>
      </c>
      <c r="G18" s="3"/>
      <c r="H18" s="4">
        <v>337</v>
      </c>
      <c r="I18" s="3">
        <v>1</v>
      </c>
      <c r="J18" s="3">
        <f t="shared" si="0"/>
        <v>1</v>
      </c>
      <c r="K18" s="3">
        <f t="shared" si="1"/>
        <v>1</v>
      </c>
      <c r="L18" s="13" t="str">
        <f t="shared" si="2"/>
        <v>Female</v>
      </c>
    </row>
    <row r="19" spans="1:12" x14ac:dyDescent="0.2">
      <c r="A19" s="3">
        <v>17638</v>
      </c>
      <c r="B19" s="3">
        <v>28</v>
      </c>
      <c r="C19" s="3">
        <v>1</v>
      </c>
      <c r="D19" s="3">
        <v>1780000000000</v>
      </c>
      <c r="E19" s="3">
        <v>1780000000000</v>
      </c>
      <c r="F19" s="3">
        <v>0</v>
      </c>
      <c r="G19" s="3"/>
      <c r="H19" s="4">
        <v>224</v>
      </c>
      <c r="I19" s="3">
        <v>1</v>
      </c>
      <c r="J19" s="3">
        <f t="shared" si="0"/>
        <v>1</v>
      </c>
      <c r="K19" s="3">
        <f t="shared" si="1"/>
        <v>1</v>
      </c>
      <c r="L19" s="13" t="str">
        <f t="shared" si="2"/>
        <v>Female</v>
      </c>
    </row>
    <row r="20" spans="1:12" x14ac:dyDescent="0.2">
      <c r="A20" s="3">
        <v>18656</v>
      </c>
      <c r="B20" s="3">
        <v>35</v>
      </c>
      <c r="C20" s="3">
        <v>2</v>
      </c>
      <c r="D20" s="3">
        <v>1780000000000</v>
      </c>
      <c r="E20" s="3">
        <v>1780000000000</v>
      </c>
      <c r="F20" s="3">
        <v>0</v>
      </c>
      <c r="G20" s="3"/>
      <c r="H20" s="4">
        <v>579</v>
      </c>
      <c r="I20" s="3">
        <v>1</v>
      </c>
      <c r="J20" s="3">
        <f t="shared" si="0"/>
        <v>1</v>
      </c>
      <c r="K20" s="3">
        <f t="shared" si="1"/>
        <v>1</v>
      </c>
      <c r="L20" s="13" t="str">
        <f t="shared" si="2"/>
        <v>Male</v>
      </c>
    </row>
    <row r="21" spans="1:12" x14ac:dyDescent="0.2">
      <c r="A21" s="3">
        <v>18773</v>
      </c>
      <c r="B21" s="3">
        <v>29</v>
      </c>
      <c r="C21" s="3">
        <v>2</v>
      </c>
      <c r="D21" s="3">
        <v>1780000000000</v>
      </c>
      <c r="E21" s="3">
        <v>1780000000000</v>
      </c>
      <c r="F21" s="3">
        <v>0</v>
      </c>
      <c r="G21" s="3"/>
      <c r="H21" s="4">
        <v>1164</v>
      </c>
      <c r="I21" s="3">
        <v>1</v>
      </c>
      <c r="J21" s="3">
        <f t="shared" si="0"/>
        <v>1</v>
      </c>
      <c r="K21" s="3">
        <f t="shared" si="1"/>
        <v>1</v>
      </c>
      <c r="L21" s="13" t="str">
        <f t="shared" si="2"/>
        <v>Male</v>
      </c>
    </row>
    <row r="22" spans="1:12" x14ac:dyDescent="0.2">
      <c r="A22" s="3">
        <v>20788</v>
      </c>
      <c r="B22" s="3">
        <v>27</v>
      </c>
      <c r="C22" s="3">
        <v>1</v>
      </c>
      <c r="D22" s="3">
        <v>1780000000000</v>
      </c>
      <c r="E22" s="3">
        <v>1780000000000</v>
      </c>
      <c r="F22" s="3">
        <v>0</v>
      </c>
      <c r="G22" s="3"/>
      <c r="H22" s="4">
        <v>454</v>
      </c>
      <c r="I22" s="3">
        <v>1</v>
      </c>
      <c r="J22" s="3">
        <f t="shared" si="0"/>
        <v>1</v>
      </c>
      <c r="K22" s="3">
        <f t="shared" si="1"/>
        <v>1</v>
      </c>
      <c r="L22" s="13" t="str">
        <f t="shared" si="2"/>
        <v>Female</v>
      </c>
    </row>
    <row r="23" spans="1:12" x14ac:dyDescent="0.2">
      <c r="A23" s="3">
        <v>20811</v>
      </c>
      <c r="B23" s="3">
        <v>50</v>
      </c>
      <c r="C23" s="3">
        <v>1</v>
      </c>
      <c r="D23" s="3">
        <v>1780000000000</v>
      </c>
      <c r="E23" s="3">
        <v>1780000000000</v>
      </c>
      <c r="F23" s="3">
        <v>0</v>
      </c>
      <c r="G23" s="3"/>
      <c r="H23" s="4">
        <v>391</v>
      </c>
      <c r="I23" s="3">
        <v>1</v>
      </c>
      <c r="J23" s="3">
        <f t="shared" si="0"/>
        <v>1</v>
      </c>
      <c r="K23" s="3">
        <f t="shared" si="1"/>
        <v>1</v>
      </c>
      <c r="L23" s="13" t="str">
        <f t="shared" si="2"/>
        <v>Female</v>
      </c>
    </row>
    <row r="24" spans="1:12" x14ac:dyDescent="0.2">
      <c r="A24" s="3">
        <v>21151</v>
      </c>
      <c r="B24" s="3">
        <v>38</v>
      </c>
      <c r="C24" s="3">
        <v>2</v>
      </c>
      <c r="D24" s="3">
        <v>1780000000000</v>
      </c>
      <c r="E24" s="3">
        <v>1780000000000</v>
      </c>
      <c r="F24" s="3">
        <v>0</v>
      </c>
      <c r="G24" s="3"/>
      <c r="H24" s="4">
        <v>340</v>
      </c>
      <c r="I24" s="3">
        <v>1</v>
      </c>
      <c r="J24" s="3">
        <f t="shared" si="0"/>
        <v>1</v>
      </c>
      <c r="K24" s="3">
        <f t="shared" si="1"/>
        <v>1</v>
      </c>
      <c r="L24" s="13" t="str">
        <f t="shared" si="2"/>
        <v>Male</v>
      </c>
    </row>
    <row r="25" spans="1:12" x14ac:dyDescent="0.2">
      <c r="A25" s="3">
        <v>22533</v>
      </c>
      <c r="B25" s="3">
        <v>41</v>
      </c>
      <c r="C25" s="3">
        <v>2</v>
      </c>
      <c r="D25" s="3">
        <v>1780000000000</v>
      </c>
      <c r="E25" s="3">
        <v>1780000000000</v>
      </c>
      <c r="F25" s="3">
        <v>0</v>
      </c>
      <c r="G25" s="3"/>
      <c r="H25" s="4">
        <v>414</v>
      </c>
      <c r="I25" s="3">
        <v>1</v>
      </c>
      <c r="J25" s="3">
        <f t="shared" si="0"/>
        <v>1</v>
      </c>
      <c r="K25" s="3">
        <f t="shared" si="1"/>
        <v>1</v>
      </c>
      <c r="L25" s="13" t="str">
        <f t="shared" si="2"/>
        <v>Male</v>
      </c>
    </row>
    <row r="26" spans="1:12" x14ac:dyDescent="0.2">
      <c r="A26" s="3">
        <v>22996</v>
      </c>
      <c r="B26" s="3">
        <v>34</v>
      </c>
      <c r="C26" s="3">
        <v>1</v>
      </c>
      <c r="D26" s="3">
        <v>1780000000000</v>
      </c>
      <c r="E26" s="3">
        <v>1780000000000</v>
      </c>
      <c r="F26" s="3">
        <v>0</v>
      </c>
      <c r="G26" s="3"/>
      <c r="H26" s="4">
        <v>1285</v>
      </c>
      <c r="I26" s="3">
        <v>1</v>
      </c>
      <c r="J26" s="3">
        <f t="shared" si="0"/>
        <v>1</v>
      </c>
      <c r="K26" s="3">
        <f t="shared" si="1"/>
        <v>1</v>
      </c>
      <c r="L26" s="13" t="str">
        <f t="shared" si="2"/>
        <v>Female</v>
      </c>
    </row>
    <row r="27" spans="1:12" x14ac:dyDescent="0.2">
      <c r="A27" s="3">
        <v>23104</v>
      </c>
      <c r="B27" s="3">
        <v>20</v>
      </c>
      <c r="C27" s="3">
        <v>1</v>
      </c>
      <c r="D27" s="3">
        <v>1780000000000</v>
      </c>
      <c r="E27" s="3">
        <v>1780000000000</v>
      </c>
      <c r="F27" s="3">
        <v>0</v>
      </c>
      <c r="G27" s="3"/>
      <c r="H27" s="4">
        <v>449</v>
      </c>
      <c r="I27" s="3">
        <v>1</v>
      </c>
      <c r="J27" s="3">
        <f t="shared" si="0"/>
        <v>1</v>
      </c>
      <c r="K27" s="3">
        <f t="shared" si="1"/>
        <v>1</v>
      </c>
      <c r="L27" s="13" t="str">
        <f t="shared" si="2"/>
        <v>Female</v>
      </c>
    </row>
    <row r="28" spans="1:12" x14ac:dyDescent="0.2">
      <c r="A28" s="3">
        <v>23733</v>
      </c>
      <c r="B28" s="3">
        <v>34</v>
      </c>
      <c r="C28" s="3">
        <v>2</v>
      </c>
      <c r="D28" s="3">
        <v>1780000000000</v>
      </c>
      <c r="E28" s="3">
        <v>1780000000000</v>
      </c>
      <c r="F28" s="3">
        <v>0</v>
      </c>
      <c r="G28" s="3"/>
      <c r="H28" s="4">
        <v>430</v>
      </c>
      <c r="I28" s="3">
        <v>1</v>
      </c>
      <c r="J28" s="3">
        <f t="shared" si="0"/>
        <v>1</v>
      </c>
      <c r="K28" s="3">
        <f t="shared" si="1"/>
        <v>1</v>
      </c>
      <c r="L28" s="13" t="str">
        <f t="shared" si="2"/>
        <v>Male</v>
      </c>
    </row>
    <row r="29" spans="1:12" x14ac:dyDescent="0.2">
      <c r="A29" s="3">
        <v>24032</v>
      </c>
      <c r="B29" s="3">
        <v>42</v>
      </c>
      <c r="C29" s="3">
        <v>1</v>
      </c>
      <c r="D29" s="3">
        <v>1780000000000</v>
      </c>
      <c r="E29" s="3">
        <v>1780000000000</v>
      </c>
      <c r="F29" s="3">
        <v>0</v>
      </c>
      <c r="G29" s="3"/>
      <c r="H29" s="4">
        <v>1093</v>
      </c>
      <c r="I29" s="3">
        <v>1</v>
      </c>
      <c r="J29" s="3">
        <f t="shared" si="0"/>
        <v>1</v>
      </c>
      <c r="K29" s="3">
        <f t="shared" si="1"/>
        <v>1</v>
      </c>
      <c r="L29" s="13" t="str">
        <f t="shared" si="2"/>
        <v>Female</v>
      </c>
    </row>
    <row r="30" spans="1:12" x14ac:dyDescent="0.2">
      <c r="A30" s="3">
        <v>24046</v>
      </c>
      <c r="B30" s="3">
        <v>27</v>
      </c>
      <c r="C30" s="3">
        <v>1</v>
      </c>
      <c r="D30" s="3">
        <v>1780000000000</v>
      </c>
      <c r="E30" s="3">
        <v>1780000000000</v>
      </c>
      <c r="F30" s="3">
        <v>0</v>
      </c>
      <c r="G30" s="3"/>
      <c r="H30" s="4">
        <v>602</v>
      </c>
      <c r="I30" s="3">
        <v>1</v>
      </c>
      <c r="J30" s="3">
        <f t="shared" si="0"/>
        <v>1</v>
      </c>
      <c r="K30" s="3">
        <f t="shared" si="1"/>
        <v>1</v>
      </c>
      <c r="L30" s="13" t="str">
        <f t="shared" si="2"/>
        <v>Female</v>
      </c>
    </row>
    <row r="31" spans="1:12" x14ac:dyDescent="0.2">
      <c r="A31" s="3">
        <v>24211</v>
      </c>
      <c r="B31" s="3">
        <v>27</v>
      </c>
      <c r="C31" s="3">
        <v>1</v>
      </c>
      <c r="D31" s="3">
        <v>1780000000000</v>
      </c>
      <c r="E31" s="3">
        <v>1780000000000</v>
      </c>
      <c r="F31" s="3">
        <v>0</v>
      </c>
      <c r="G31" s="3"/>
      <c r="H31" s="4">
        <v>331</v>
      </c>
      <c r="I31" s="3">
        <v>1</v>
      </c>
      <c r="J31" s="3">
        <f t="shared" si="0"/>
        <v>1</v>
      </c>
      <c r="K31" s="3">
        <f t="shared" si="1"/>
        <v>1</v>
      </c>
      <c r="L31" s="13" t="str">
        <f t="shared" si="2"/>
        <v>Female</v>
      </c>
    </row>
    <row r="32" spans="1:12" x14ac:dyDescent="0.2">
      <c r="A32" s="3">
        <v>24906</v>
      </c>
      <c r="B32" s="3">
        <v>21</v>
      </c>
      <c r="C32" s="3">
        <v>1</v>
      </c>
      <c r="D32" s="3">
        <v>1780000000000</v>
      </c>
      <c r="E32" s="3">
        <v>1780000000000</v>
      </c>
      <c r="F32" s="3">
        <v>0</v>
      </c>
      <c r="G32" s="3"/>
      <c r="H32" s="4">
        <v>228</v>
      </c>
      <c r="I32" s="3">
        <v>1</v>
      </c>
      <c r="J32" s="3">
        <f t="shared" si="0"/>
        <v>1</v>
      </c>
      <c r="K32" s="3">
        <f t="shared" si="1"/>
        <v>1</v>
      </c>
      <c r="L32" s="13" t="str">
        <f t="shared" si="2"/>
        <v>Female</v>
      </c>
    </row>
    <row r="33" spans="1:12" x14ac:dyDescent="0.2">
      <c r="A33" s="3">
        <v>26106</v>
      </c>
      <c r="B33" s="3">
        <v>34</v>
      </c>
      <c r="C33" s="3">
        <v>1</v>
      </c>
      <c r="D33" s="3">
        <v>1780000000000</v>
      </c>
      <c r="E33" s="3">
        <v>1780000000000</v>
      </c>
      <c r="F33" s="3">
        <v>0</v>
      </c>
      <c r="G33" s="3"/>
      <c r="H33" s="4">
        <v>479</v>
      </c>
      <c r="I33" s="3">
        <v>1</v>
      </c>
      <c r="J33" s="3">
        <f t="shared" si="0"/>
        <v>1</v>
      </c>
      <c r="K33" s="3">
        <f t="shared" si="1"/>
        <v>1</v>
      </c>
      <c r="L33" s="13" t="str">
        <f t="shared" si="2"/>
        <v>Female</v>
      </c>
    </row>
    <row r="34" spans="1:12" x14ac:dyDescent="0.2">
      <c r="A34" s="3">
        <v>27554</v>
      </c>
      <c r="B34" s="3">
        <v>26</v>
      </c>
      <c r="C34" s="3">
        <v>2</v>
      </c>
      <c r="D34" s="3">
        <v>1780000000000</v>
      </c>
      <c r="E34" s="3">
        <v>1780000000000</v>
      </c>
      <c r="F34" s="3">
        <v>0</v>
      </c>
      <c r="G34" s="3"/>
      <c r="H34" s="4">
        <v>201</v>
      </c>
      <c r="I34" s="3">
        <v>1</v>
      </c>
      <c r="J34" s="3">
        <f t="shared" ref="J34:J65" si="3">IF(H34&gt;=$O$2,1,0)</f>
        <v>1</v>
      </c>
      <c r="K34" s="3">
        <f t="shared" ref="K34:K65" si="4">IF(AND(I34=1,J34=1),1,0)</f>
        <v>1</v>
      </c>
      <c r="L34" s="13" t="str">
        <f t="shared" ref="L34:L65" si="5">IF(C34=1,"Female",IF(C34=2,"Male","Code 3 (unconfirmed)"))</f>
        <v>Male</v>
      </c>
    </row>
    <row r="35" spans="1:12" x14ac:dyDescent="0.2">
      <c r="A35" s="3">
        <v>28491</v>
      </c>
      <c r="B35" s="3">
        <v>30</v>
      </c>
      <c r="C35" s="3">
        <v>2</v>
      </c>
      <c r="D35" s="3">
        <v>1780000000000</v>
      </c>
      <c r="E35" s="3">
        <v>1780000000000</v>
      </c>
      <c r="F35" s="3">
        <v>0</v>
      </c>
      <c r="G35" s="3"/>
      <c r="H35" s="4">
        <v>878</v>
      </c>
      <c r="I35" s="3">
        <v>1</v>
      </c>
      <c r="J35" s="3">
        <f t="shared" si="3"/>
        <v>1</v>
      </c>
      <c r="K35" s="3">
        <f t="shared" si="4"/>
        <v>1</v>
      </c>
      <c r="L35" s="13" t="str">
        <f t="shared" si="5"/>
        <v>Male</v>
      </c>
    </row>
    <row r="36" spans="1:12" x14ac:dyDescent="0.2">
      <c r="A36" s="3">
        <v>29078</v>
      </c>
      <c r="B36" s="3">
        <v>31</v>
      </c>
      <c r="C36" s="3">
        <v>2</v>
      </c>
      <c r="D36" s="3">
        <v>1780000000000</v>
      </c>
      <c r="E36" s="3">
        <v>1780000000000</v>
      </c>
      <c r="F36" s="3">
        <v>0</v>
      </c>
      <c r="G36" s="3"/>
      <c r="H36" s="4">
        <v>248</v>
      </c>
      <c r="I36" s="3">
        <v>1</v>
      </c>
      <c r="J36" s="3">
        <f t="shared" si="3"/>
        <v>1</v>
      </c>
      <c r="K36" s="3">
        <f t="shared" si="4"/>
        <v>1</v>
      </c>
      <c r="L36" s="13" t="str">
        <f t="shared" si="5"/>
        <v>Male</v>
      </c>
    </row>
    <row r="37" spans="1:12" x14ac:dyDescent="0.2">
      <c r="A37" s="3">
        <v>31715</v>
      </c>
      <c r="B37" s="3">
        <v>45</v>
      </c>
      <c r="C37" s="3">
        <v>1</v>
      </c>
      <c r="D37" s="3">
        <v>1780000000000</v>
      </c>
      <c r="E37" s="3">
        <v>1780000000000</v>
      </c>
      <c r="F37" s="3">
        <v>0</v>
      </c>
      <c r="G37" s="3"/>
      <c r="H37" s="4">
        <v>600</v>
      </c>
      <c r="I37" s="3">
        <v>1</v>
      </c>
      <c r="J37" s="3">
        <f t="shared" si="3"/>
        <v>1</v>
      </c>
      <c r="K37" s="3">
        <f t="shared" si="4"/>
        <v>1</v>
      </c>
      <c r="L37" s="13" t="str">
        <f t="shared" si="5"/>
        <v>Female</v>
      </c>
    </row>
    <row r="38" spans="1:12" x14ac:dyDescent="0.2">
      <c r="A38" s="3">
        <v>32743</v>
      </c>
      <c r="B38" s="3">
        <v>40</v>
      </c>
      <c r="C38" s="3">
        <v>1</v>
      </c>
      <c r="D38" s="3">
        <v>1780000000000</v>
      </c>
      <c r="E38" s="3">
        <v>1780000000000</v>
      </c>
      <c r="F38" s="3">
        <v>0</v>
      </c>
      <c r="G38" s="3"/>
      <c r="H38" s="4">
        <v>701</v>
      </c>
      <c r="I38" s="3">
        <v>1</v>
      </c>
      <c r="J38" s="3">
        <f t="shared" si="3"/>
        <v>1</v>
      </c>
      <c r="K38" s="3">
        <f t="shared" si="4"/>
        <v>1</v>
      </c>
      <c r="L38" s="13" t="str">
        <f t="shared" si="5"/>
        <v>Female</v>
      </c>
    </row>
    <row r="39" spans="1:12" x14ac:dyDescent="0.2">
      <c r="A39" s="3">
        <v>33073</v>
      </c>
      <c r="B39" s="3">
        <v>44</v>
      </c>
      <c r="C39" s="3">
        <v>1</v>
      </c>
      <c r="D39" s="3">
        <v>1780000000000</v>
      </c>
      <c r="E39" s="3">
        <v>1780000000000</v>
      </c>
      <c r="F39" s="3">
        <v>0</v>
      </c>
      <c r="G39" s="3"/>
      <c r="H39" s="4">
        <v>182</v>
      </c>
      <c r="I39" s="3">
        <v>1</v>
      </c>
      <c r="J39" s="3">
        <f t="shared" si="3"/>
        <v>1</v>
      </c>
      <c r="K39" s="3">
        <f t="shared" si="4"/>
        <v>1</v>
      </c>
      <c r="L39" s="13" t="str">
        <f t="shared" si="5"/>
        <v>Female</v>
      </c>
    </row>
    <row r="40" spans="1:12" x14ac:dyDescent="0.2">
      <c r="A40" s="3">
        <v>33116</v>
      </c>
      <c r="B40" s="3">
        <v>38</v>
      </c>
      <c r="C40" s="3">
        <v>1</v>
      </c>
      <c r="D40" s="3">
        <v>1780000000000</v>
      </c>
      <c r="E40" s="3">
        <v>1780000000000</v>
      </c>
      <c r="F40" s="3">
        <v>0</v>
      </c>
      <c r="G40" s="3"/>
      <c r="H40" s="4">
        <v>437</v>
      </c>
      <c r="I40" s="3">
        <v>1</v>
      </c>
      <c r="J40" s="3">
        <f t="shared" si="3"/>
        <v>1</v>
      </c>
      <c r="K40" s="3">
        <f t="shared" si="4"/>
        <v>1</v>
      </c>
      <c r="L40" s="13" t="str">
        <f t="shared" si="5"/>
        <v>Female</v>
      </c>
    </row>
    <row r="41" spans="1:12" x14ac:dyDescent="0.2">
      <c r="A41" s="3">
        <v>33285</v>
      </c>
      <c r="B41" s="3">
        <v>32</v>
      </c>
      <c r="C41" s="3">
        <v>1</v>
      </c>
      <c r="D41" s="3">
        <v>1780000000000</v>
      </c>
      <c r="E41" s="3">
        <v>1780000000000</v>
      </c>
      <c r="F41" s="3">
        <v>0</v>
      </c>
      <c r="G41" s="3"/>
      <c r="H41" s="4">
        <v>1098</v>
      </c>
      <c r="I41" s="3">
        <v>1</v>
      </c>
      <c r="J41" s="3">
        <f t="shared" si="3"/>
        <v>1</v>
      </c>
      <c r="K41" s="3">
        <f t="shared" si="4"/>
        <v>1</v>
      </c>
      <c r="L41" s="13" t="str">
        <f t="shared" si="5"/>
        <v>Female</v>
      </c>
    </row>
    <row r="42" spans="1:12" x14ac:dyDescent="0.2">
      <c r="A42" s="3">
        <v>34695</v>
      </c>
      <c r="B42" s="3">
        <v>48</v>
      </c>
      <c r="C42" s="3">
        <v>1</v>
      </c>
      <c r="D42" s="3">
        <v>1780000000000</v>
      </c>
      <c r="E42" s="3">
        <v>1780000000000</v>
      </c>
      <c r="F42" s="3">
        <v>0</v>
      </c>
      <c r="G42" s="3"/>
      <c r="H42" s="4">
        <v>420</v>
      </c>
      <c r="I42" s="3">
        <v>1</v>
      </c>
      <c r="J42" s="3">
        <f t="shared" si="3"/>
        <v>1</v>
      </c>
      <c r="K42" s="3">
        <f t="shared" si="4"/>
        <v>1</v>
      </c>
      <c r="L42" s="13" t="str">
        <f t="shared" si="5"/>
        <v>Female</v>
      </c>
    </row>
    <row r="43" spans="1:12" x14ac:dyDescent="0.2">
      <c r="A43" s="3">
        <v>35566</v>
      </c>
      <c r="B43" s="3">
        <v>22</v>
      </c>
      <c r="C43" s="3">
        <v>2</v>
      </c>
      <c r="D43" s="3">
        <v>1780000000000</v>
      </c>
      <c r="E43" s="3">
        <v>1780000000000</v>
      </c>
      <c r="F43" s="3">
        <v>0</v>
      </c>
      <c r="G43" s="3"/>
      <c r="H43" s="4">
        <v>212</v>
      </c>
      <c r="I43" s="3">
        <v>1</v>
      </c>
      <c r="J43" s="3">
        <f t="shared" si="3"/>
        <v>1</v>
      </c>
      <c r="K43" s="3">
        <f t="shared" si="4"/>
        <v>1</v>
      </c>
      <c r="L43" s="13" t="str">
        <f t="shared" si="5"/>
        <v>Male</v>
      </c>
    </row>
    <row r="44" spans="1:12" x14ac:dyDescent="0.2">
      <c r="A44" s="3">
        <v>37274</v>
      </c>
      <c r="B44" s="3">
        <v>34</v>
      </c>
      <c r="C44" s="3">
        <v>2</v>
      </c>
      <c r="D44" s="3">
        <v>1780000000000</v>
      </c>
      <c r="E44" s="3">
        <v>1780000000000</v>
      </c>
      <c r="F44" s="3">
        <v>0</v>
      </c>
      <c r="G44" s="3"/>
      <c r="H44" s="4">
        <v>1008</v>
      </c>
      <c r="I44" s="3">
        <v>1</v>
      </c>
      <c r="J44" s="3">
        <f t="shared" si="3"/>
        <v>1</v>
      </c>
      <c r="K44" s="3">
        <f t="shared" si="4"/>
        <v>1</v>
      </c>
      <c r="L44" s="13" t="str">
        <f t="shared" si="5"/>
        <v>Male</v>
      </c>
    </row>
    <row r="45" spans="1:12" x14ac:dyDescent="0.2">
      <c r="A45" s="3">
        <v>37904</v>
      </c>
      <c r="B45" s="3">
        <v>31</v>
      </c>
      <c r="C45" s="3">
        <v>3</v>
      </c>
      <c r="D45" s="3">
        <v>1780000000000</v>
      </c>
      <c r="E45" s="3">
        <v>1780000000000</v>
      </c>
      <c r="F45" s="3">
        <v>0</v>
      </c>
      <c r="G45" s="3"/>
      <c r="H45" s="4">
        <v>373</v>
      </c>
      <c r="I45" s="3">
        <v>1</v>
      </c>
      <c r="J45" s="3">
        <f t="shared" si="3"/>
        <v>1</v>
      </c>
      <c r="K45" s="3">
        <f t="shared" si="4"/>
        <v>1</v>
      </c>
      <c r="L45" s="13" t="str">
        <f t="shared" si="5"/>
        <v>Code 3 (unconfirmed)</v>
      </c>
    </row>
    <row r="46" spans="1:12" x14ac:dyDescent="0.2">
      <c r="A46" s="3">
        <v>39627</v>
      </c>
      <c r="B46" s="3">
        <v>37</v>
      </c>
      <c r="C46" s="3">
        <v>1</v>
      </c>
      <c r="D46" s="3">
        <v>1780000000000</v>
      </c>
      <c r="E46" s="3">
        <v>1780000000000</v>
      </c>
      <c r="F46" s="3">
        <v>0</v>
      </c>
      <c r="G46" s="3"/>
      <c r="H46" s="4">
        <v>352</v>
      </c>
      <c r="I46" s="3">
        <v>1</v>
      </c>
      <c r="J46" s="3">
        <f t="shared" si="3"/>
        <v>1</v>
      </c>
      <c r="K46" s="3">
        <f t="shared" si="4"/>
        <v>1</v>
      </c>
      <c r="L46" s="13" t="str">
        <f t="shared" si="5"/>
        <v>Female</v>
      </c>
    </row>
    <row r="47" spans="1:12" x14ac:dyDescent="0.2">
      <c r="A47" s="3">
        <v>40103</v>
      </c>
      <c r="B47" s="3">
        <v>36</v>
      </c>
      <c r="C47" s="3">
        <v>2</v>
      </c>
      <c r="D47" s="3">
        <v>1780000000000</v>
      </c>
      <c r="E47" s="3">
        <v>1780000000000</v>
      </c>
      <c r="F47" s="3">
        <v>0</v>
      </c>
      <c r="G47" s="3"/>
      <c r="H47" s="4">
        <v>171</v>
      </c>
      <c r="I47" s="3">
        <v>1</v>
      </c>
      <c r="J47" s="3">
        <f t="shared" si="3"/>
        <v>1</v>
      </c>
      <c r="K47" s="3">
        <f t="shared" si="4"/>
        <v>1</v>
      </c>
      <c r="L47" s="13" t="str">
        <f t="shared" si="5"/>
        <v>Male</v>
      </c>
    </row>
    <row r="48" spans="1:12" x14ac:dyDescent="0.2">
      <c r="A48" s="3">
        <v>43150</v>
      </c>
      <c r="B48" s="3">
        <v>32</v>
      </c>
      <c r="C48" s="3">
        <v>2</v>
      </c>
      <c r="D48" s="3">
        <v>1780000000000</v>
      </c>
      <c r="E48" s="3">
        <v>1780000000000</v>
      </c>
      <c r="F48" s="3">
        <v>0</v>
      </c>
      <c r="G48" s="3"/>
      <c r="H48" s="4">
        <v>256</v>
      </c>
      <c r="I48" s="3">
        <v>1</v>
      </c>
      <c r="J48" s="3">
        <f t="shared" si="3"/>
        <v>1</v>
      </c>
      <c r="K48" s="3">
        <f t="shared" si="4"/>
        <v>1</v>
      </c>
      <c r="L48" s="13" t="str">
        <f t="shared" si="5"/>
        <v>Male</v>
      </c>
    </row>
    <row r="49" spans="1:12" x14ac:dyDescent="0.2">
      <c r="A49" s="3">
        <v>43972</v>
      </c>
      <c r="B49" s="3">
        <v>34</v>
      </c>
      <c r="C49" s="3">
        <v>1</v>
      </c>
      <c r="D49" s="3">
        <v>1780000000000</v>
      </c>
      <c r="E49" s="3">
        <v>1780000000000</v>
      </c>
      <c r="F49" s="3">
        <v>0</v>
      </c>
      <c r="G49" s="3"/>
      <c r="H49" s="4">
        <v>355</v>
      </c>
      <c r="I49" s="3">
        <v>1</v>
      </c>
      <c r="J49" s="3">
        <f t="shared" si="3"/>
        <v>1</v>
      </c>
      <c r="K49" s="3">
        <f t="shared" si="4"/>
        <v>1</v>
      </c>
      <c r="L49" s="13" t="str">
        <f t="shared" si="5"/>
        <v>Female</v>
      </c>
    </row>
    <row r="50" spans="1:12" x14ac:dyDescent="0.2">
      <c r="A50" s="3">
        <v>44375</v>
      </c>
      <c r="B50" s="3">
        <v>26</v>
      </c>
      <c r="C50" s="3">
        <v>1</v>
      </c>
      <c r="D50" s="3">
        <v>1780000000000</v>
      </c>
      <c r="E50" s="3">
        <v>1780000000000</v>
      </c>
      <c r="F50" s="3">
        <v>0</v>
      </c>
      <c r="G50" s="3"/>
      <c r="H50" s="4">
        <v>271</v>
      </c>
      <c r="I50" s="3">
        <v>1</v>
      </c>
      <c r="J50" s="3">
        <f t="shared" si="3"/>
        <v>1</v>
      </c>
      <c r="K50" s="3">
        <f t="shared" si="4"/>
        <v>1</v>
      </c>
      <c r="L50" s="13" t="str">
        <f t="shared" si="5"/>
        <v>Female</v>
      </c>
    </row>
    <row r="51" spans="1:12" x14ac:dyDescent="0.2">
      <c r="A51" s="3">
        <v>44380</v>
      </c>
      <c r="B51" s="3">
        <v>35</v>
      </c>
      <c r="C51" s="3">
        <v>1</v>
      </c>
      <c r="D51" s="3">
        <v>1780000000000</v>
      </c>
      <c r="E51" s="3">
        <v>1780000000000</v>
      </c>
      <c r="F51" s="3">
        <v>0</v>
      </c>
      <c r="G51" s="3"/>
      <c r="H51" s="4">
        <v>348</v>
      </c>
      <c r="I51" s="3">
        <v>1</v>
      </c>
      <c r="J51" s="3">
        <f t="shared" si="3"/>
        <v>1</v>
      </c>
      <c r="K51" s="3">
        <f t="shared" si="4"/>
        <v>1</v>
      </c>
      <c r="L51" s="13" t="str">
        <f t="shared" si="5"/>
        <v>Female</v>
      </c>
    </row>
    <row r="52" spans="1:12" x14ac:dyDescent="0.2">
      <c r="A52" s="3">
        <v>44542</v>
      </c>
      <c r="B52" s="3">
        <v>31</v>
      </c>
      <c r="C52" s="3">
        <v>2</v>
      </c>
      <c r="D52" s="3">
        <v>1780000000000</v>
      </c>
      <c r="E52" s="3">
        <v>1780000000000</v>
      </c>
      <c r="F52" s="3">
        <v>0</v>
      </c>
      <c r="G52" s="3"/>
      <c r="H52" s="4">
        <v>332</v>
      </c>
      <c r="I52" s="3">
        <v>1</v>
      </c>
      <c r="J52" s="3">
        <f t="shared" si="3"/>
        <v>1</v>
      </c>
      <c r="K52" s="3">
        <f t="shared" si="4"/>
        <v>1</v>
      </c>
      <c r="L52" s="13" t="str">
        <f t="shared" si="5"/>
        <v>Male</v>
      </c>
    </row>
    <row r="53" spans="1:12" x14ac:dyDescent="0.2">
      <c r="A53" s="3">
        <v>44960</v>
      </c>
      <c r="B53" s="3">
        <v>32</v>
      </c>
      <c r="C53" s="3">
        <v>1</v>
      </c>
      <c r="D53" s="3">
        <v>1780000000000</v>
      </c>
      <c r="E53" s="3">
        <v>1780000000000</v>
      </c>
      <c r="F53" s="3">
        <v>0</v>
      </c>
      <c r="G53" s="3"/>
      <c r="H53" s="4">
        <v>443</v>
      </c>
      <c r="I53" s="3">
        <v>1</v>
      </c>
      <c r="J53" s="3">
        <f t="shared" si="3"/>
        <v>1</v>
      </c>
      <c r="K53" s="3">
        <f t="shared" si="4"/>
        <v>1</v>
      </c>
      <c r="L53" s="13" t="str">
        <f t="shared" si="5"/>
        <v>Female</v>
      </c>
    </row>
    <row r="54" spans="1:12" x14ac:dyDescent="0.2">
      <c r="A54" s="3">
        <v>45742</v>
      </c>
      <c r="B54" s="3">
        <v>38</v>
      </c>
      <c r="C54" s="3">
        <v>1</v>
      </c>
      <c r="D54" s="3">
        <v>1780000000000</v>
      </c>
      <c r="E54" s="3">
        <v>1780000000000</v>
      </c>
      <c r="F54" s="3">
        <v>0</v>
      </c>
      <c r="G54" s="3"/>
      <c r="H54" s="4">
        <v>388</v>
      </c>
      <c r="I54" s="3">
        <v>1</v>
      </c>
      <c r="J54" s="3">
        <f t="shared" si="3"/>
        <v>1</v>
      </c>
      <c r="K54" s="3">
        <f t="shared" si="4"/>
        <v>1</v>
      </c>
      <c r="L54" s="13" t="str">
        <f t="shared" si="5"/>
        <v>Female</v>
      </c>
    </row>
    <row r="55" spans="1:12" x14ac:dyDescent="0.2">
      <c r="A55" s="3">
        <v>45909</v>
      </c>
      <c r="B55" s="3">
        <v>20</v>
      </c>
      <c r="C55" s="3">
        <v>2</v>
      </c>
      <c r="D55" s="3">
        <v>1780000000000</v>
      </c>
      <c r="E55" s="3">
        <v>1780000000000</v>
      </c>
      <c r="F55" s="3">
        <v>1</v>
      </c>
      <c r="G55" s="3" t="s">
        <v>40</v>
      </c>
      <c r="H55" s="4">
        <v>121</v>
      </c>
      <c r="I55" s="3">
        <v>1</v>
      </c>
      <c r="J55" s="3">
        <f t="shared" si="3"/>
        <v>0</v>
      </c>
      <c r="K55" s="3">
        <f t="shared" si="4"/>
        <v>0</v>
      </c>
      <c r="L55" s="13" t="str">
        <f t="shared" si="5"/>
        <v>Male</v>
      </c>
    </row>
    <row r="56" spans="1:12" x14ac:dyDescent="0.2">
      <c r="A56" s="3">
        <v>48989</v>
      </c>
      <c r="B56" s="3">
        <v>40</v>
      </c>
      <c r="C56" s="3">
        <v>1</v>
      </c>
      <c r="D56" s="3">
        <v>1780000000000</v>
      </c>
      <c r="E56" s="3">
        <v>1780000000000</v>
      </c>
      <c r="F56" s="3">
        <v>0</v>
      </c>
      <c r="G56" s="3"/>
      <c r="H56" s="4">
        <v>520</v>
      </c>
      <c r="I56" s="3">
        <v>1</v>
      </c>
      <c r="J56" s="3">
        <f t="shared" si="3"/>
        <v>1</v>
      </c>
      <c r="K56" s="3">
        <f t="shared" si="4"/>
        <v>1</v>
      </c>
      <c r="L56" s="13" t="str">
        <f t="shared" si="5"/>
        <v>Female</v>
      </c>
    </row>
    <row r="57" spans="1:12" x14ac:dyDescent="0.2">
      <c r="A57" s="3">
        <v>49426</v>
      </c>
      <c r="B57" s="3">
        <v>42</v>
      </c>
      <c r="C57" s="3">
        <v>2</v>
      </c>
      <c r="D57" s="3">
        <v>1780000000000</v>
      </c>
      <c r="E57" s="3">
        <v>1780000000000</v>
      </c>
      <c r="F57" s="3">
        <v>0</v>
      </c>
      <c r="G57" s="3"/>
      <c r="H57" s="4">
        <v>862</v>
      </c>
      <c r="I57" s="3">
        <v>1</v>
      </c>
      <c r="J57" s="3">
        <f t="shared" si="3"/>
        <v>1</v>
      </c>
      <c r="K57" s="3">
        <f t="shared" si="4"/>
        <v>1</v>
      </c>
      <c r="L57" s="13" t="str">
        <f t="shared" si="5"/>
        <v>Male</v>
      </c>
    </row>
    <row r="58" spans="1:12" x14ac:dyDescent="0.2">
      <c r="A58" s="3">
        <v>52256</v>
      </c>
      <c r="B58" s="3">
        <v>45</v>
      </c>
      <c r="C58" s="3">
        <v>2</v>
      </c>
      <c r="D58" s="3">
        <v>1780000000000</v>
      </c>
      <c r="E58" s="3">
        <v>1780000000000</v>
      </c>
      <c r="F58" s="3">
        <v>0</v>
      </c>
      <c r="G58" s="3"/>
      <c r="H58" s="4">
        <v>266</v>
      </c>
      <c r="I58" s="3">
        <v>1</v>
      </c>
      <c r="J58" s="3">
        <f t="shared" si="3"/>
        <v>1</v>
      </c>
      <c r="K58" s="3">
        <f t="shared" si="4"/>
        <v>1</v>
      </c>
      <c r="L58" s="13" t="str">
        <f t="shared" si="5"/>
        <v>Male</v>
      </c>
    </row>
    <row r="59" spans="1:12" x14ac:dyDescent="0.2">
      <c r="A59" s="3">
        <v>53009</v>
      </c>
      <c r="B59" s="3">
        <v>37</v>
      </c>
      <c r="C59" s="3">
        <v>1</v>
      </c>
      <c r="D59" s="3">
        <v>1780000000000</v>
      </c>
      <c r="E59" s="3">
        <v>1780000000000</v>
      </c>
      <c r="F59" s="3">
        <v>0</v>
      </c>
      <c r="G59" s="3"/>
      <c r="H59" s="4">
        <v>350</v>
      </c>
      <c r="I59" s="3">
        <v>1</v>
      </c>
      <c r="J59" s="3">
        <f t="shared" si="3"/>
        <v>1</v>
      </c>
      <c r="K59" s="3">
        <f t="shared" si="4"/>
        <v>1</v>
      </c>
      <c r="L59" s="13" t="str">
        <f t="shared" si="5"/>
        <v>Female</v>
      </c>
    </row>
    <row r="60" spans="1:12" x14ac:dyDescent="0.2">
      <c r="A60" s="3">
        <v>53595</v>
      </c>
      <c r="B60" s="3">
        <v>45</v>
      </c>
      <c r="C60" s="3">
        <v>1</v>
      </c>
      <c r="D60" s="3">
        <v>1780000000000</v>
      </c>
      <c r="E60" s="3">
        <v>1780000000000</v>
      </c>
      <c r="F60" s="3">
        <v>0</v>
      </c>
      <c r="G60" s="3"/>
      <c r="H60" s="4">
        <v>468</v>
      </c>
      <c r="I60" s="3">
        <v>1</v>
      </c>
      <c r="J60" s="3">
        <f t="shared" si="3"/>
        <v>1</v>
      </c>
      <c r="K60" s="3">
        <f t="shared" si="4"/>
        <v>1</v>
      </c>
      <c r="L60" s="13" t="str">
        <f t="shared" si="5"/>
        <v>Female</v>
      </c>
    </row>
    <row r="61" spans="1:12" x14ac:dyDescent="0.2">
      <c r="A61" s="3">
        <v>53623</v>
      </c>
      <c r="B61" s="3">
        <v>36</v>
      </c>
      <c r="C61" s="3">
        <v>1</v>
      </c>
      <c r="D61" s="3">
        <v>1780000000000</v>
      </c>
      <c r="E61" s="3">
        <v>1780000000000</v>
      </c>
      <c r="F61" s="3">
        <v>0</v>
      </c>
      <c r="G61" s="3"/>
      <c r="H61" s="4">
        <v>225</v>
      </c>
      <c r="I61" s="3">
        <v>1</v>
      </c>
      <c r="J61" s="3">
        <f t="shared" si="3"/>
        <v>1</v>
      </c>
      <c r="K61" s="3">
        <f t="shared" si="4"/>
        <v>1</v>
      </c>
      <c r="L61" s="13" t="str">
        <f t="shared" si="5"/>
        <v>Female</v>
      </c>
    </row>
    <row r="62" spans="1:12" x14ac:dyDescent="0.2">
      <c r="A62" s="3">
        <v>53752</v>
      </c>
      <c r="B62" s="3">
        <v>32</v>
      </c>
      <c r="C62" s="3">
        <v>1</v>
      </c>
      <c r="D62" s="3">
        <v>1780000000000</v>
      </c>
      <c r="E62" s="3">
        <v>1780000000000</v>
      </c>
      <c r="F62" s="3">
        <v>0</v>
      </c>
      <c r="G62" s="3"/>
      <c r="H62" s="4">
        <v>480</v>
      </c>
      <c r="I62" s="3">
        <v>1</v>
      </c>
      <c r="J62" s="3">
        <f t="shared" si="3"/>
        <v>1</v>
      </c>
      <c r="K62" s="3">
        <f t="shared" si="4"/>
        <v>1</v>
      </c>
      <c r="L62" s="13" t="str">
        <f t="shared" si="5"/>
        <v>Female</v>
      </c>
    </row>
    <row r="63" spans="1:12" x14ac:dyDescent="0.2">
      <c r="A63" s="3">
        <v>53791</v>
      </c>
      <c r="B63" s="3">
        <v>30</v>
      </c>
      <c r="C63" s="3">
        <v>2</v>
      </c>
      <c r="D63" s="3">
        <v>1780000000000</v>
      </c>
      <c r="E63" s="3">
        <v>1780000000000</v>
      </c>
      <c r="F63" s="3">
        <v>0</v>
      </c>
      <c r="G63" s="3"/>
      <c r="H63" s="4">
        <v>359</v>
      </c>
      <c r="I63" s="3">
        <v>1</v>
      </c>
      <c r="J63" s="3">
        <f t="shared" si="3"/>
        <v>1</v>
      </c>
      <c r="K63" s="3">
        <f t="shared" si="4"/>
        <v>1</v>
      </c>
      <c r="L63" s="13" t="str">
        <f t="shared" si="5"/>
        <v>Male</v>
      </c>
    </row>
    <row r="64" spans="1:12" x14ac:dyDescent="0.2">
      <c r="A64" s="3">
        <v>54018</v>
      </c>
      <c r="B64" s="3">
        <v>36</v>
      </c>
      <c r="C64" s="3">
        <v>2</v>
      </c>
      <c r="D64" s="3">
        <v>1780000000000</v>
      </c>
      <c r="E64" s="3">
        <v>1780000000000</v>
      </c>
      <c r="F64" s="3">
        <v>0</v>
      </c>
      <c r="G64" s="3"/>
      <c r="H64" s="4">
        <v>209</v>
      </c>
      <c r="I64" s="3">
        <v>1</v>
      </c>
      <c r="J64" s="3">
        <f t="shared" si="3"/>
        <v>1</v>
      </c>
      <c r="K64" s="3">
        <f t="shared" si="4"/>
        <v>1</v>
      </c>
      <c r="L64" s="13" t="str">
        <f t="shared" si="5"/>
        <v>Male</v>
      </c>
    </row>
    <row r="65" spans="1:12" x14ac:dyDescent="0.2">
      <c r="A65" s="3">
        <v>55131</v>
      </c>
      <c r="B65" s="3">
        <v>47</v>
      </c>
      <c r="C65" s="3">
        <v>2</v>
      </c>
      <c r="D65" s="3">
        <v>1780000000000</v>
      </c>
      <c r="E65" s="3">
        <v>1780000000000</v>
      </c>
      <c r="F65" s="3">
        <v>0</v>
      </c>
      <c r="G65" s="3"/>
      <c r="H65" s="4">
        <v>386</v>
      </c>
      <c r="I65" s="3">
        <v>1</v>
      </c>
      <c r="J65" s="3">
        <f t="shared" si="3"/>
        <v>1</v>
      </c>
      <c r="K65" s="3">
        <f t="shared" si="4"/>
        <v>1</v>
      </c>
      <c r="L65" s="13" t="str">
        <f t="shared" si="5"/>
        <v>Male</v>
      </c>
    </row>
    <row r="66" spans="1:12" x14ac:dyDescent="0.2">
      <c r="A66" s="3">
        <v>55894</v>
      </c>
      <c r="B66" s="3">
        <v>43</v>
      </c>
      <c r="C66" s="3">
        <v>1</v>
      </c>
      <c r="D66" s="3">
        <v>1780000000000</v>
      </c>
      <c r="E66" s="3">
        <v>1780000000000</v>
      </c>
      <c r="F66" s="3">
        <v>0</v>
      </c>
      <c r="G66" s="3"/>
      <c r="H66" s="4">
        <v>459</v>
      </c>
      <c r="I66" s="3">
        <v>1</v>
      </c>
      <c r="J66" s="3">
        <f t="shared" ref="J66:J101" si="6">IF(H66&gt;=$O$2,1,0)</f>
        <v>1</v>
      </c>
      <c r="K66" s="3">
        <f t="shared" ref="K66:K97" si="7">IF(AND(I66=1,J66=1),1,0)</f>
        <v>1</v>
      </c>
      <c r="L66" s="13" t="str">
        <f t="shared" ref="L66:L101" si="8">IF(C66=1,"Female",IF(C66=2,"Male","Code 3 (unconfirmed)"))</f>
        <v>Female</v>
      </c>
    </row>
    <row r="67" spans="1:12" x14ac:dyDescent="0.2">
      <c r="A67" s="3">
        <v>57332</v>
      </c>
      <c r="B67" s="3">
        <v>29</v>
      </c>
      <c r="C67" s="3">
        <v>2</v>
      </c>
      <c r="D67" s="3">
        <v>1780000000000</v>
      </c>
      <c r="E67" s="3">
        <v>1780000000000</v>
      </c>
      <c r="F67" s="3">
        <v>0</v>
      </c>
      <c r="G67" s="3"/>
      <c r="H67" s="4">
        <v>222</v>
      </c>
      <c r="I67" s="3">
        <v>1</v>
      </c>
      <c r="J67" s="3">
        <f t="shared" si="6"/>
        <v>1</v>
      </c>
      <c r="K67" s="3">
        <f t="shared" si="7"/>
        <v>1</v>
      </c>
      <c r="L67" s="13" t="str">
        <f t="shared" si="8"/>
        <v>Male</v>
      </c>
    </row>
    <row r="68" spans="1:12" x14ac:dyDescent="0.2">
      <c r="A68" s="3">
        <v>59662</v>
      </c>
      <c r="B68" s="3">
        <v>37</v>
      </c>
      <c r="C68" s="3">
        <v>1</v>
      </c>
      <c r="D68" s="3">
        <v>1780000000000</v>
      </c>
      <c r="E68" s="3">
        <v>1780000000000</v>
      </c>
      <c r="F68" s="3">
        <v>0</v>
      </c>
      <c r="G68" s="3"/>
      <c r="H68" s="4">
        <v>610</v>
      </c>
      <c r="I68" s="3">
        <v>1</v>
      </c>
      <c r="J68" s="3">
        <f t="shared" si="6"/>
        <v>1</v>
      </c>
      <c r="K68" s="3">
        <f t="shared" si="7"/>
        <v>1</v>
      </c>
      <c r="L68" s="13" t="str">
        <f t="shared" si="8"/>
        <v>Female</v>
      </c>
    </row>
    <row r="69" spans="1:12" x14ac:dyDescent="0.2">
      <c r="A69" s="3">
        <v>63408</v>
      </c>
      <c r="B69" s="3">
        <v>33</v>
      </c>
      <c r="C69" s="3">
        <v>1</v>
      </c>
      <c r="D69" s="3">
        <v>1780000000000</v>
      </c>
      <c r="E69" s="3">
        <v>1780000000000</v>
      </c>
      <c r="F69" s="3">
        <v>0</v>
      </c>
      <c r="G69" s="3"/>
      <c r="H69" s="4">
        <v>721</v>
      </c>
      <c r="I69" s="3">
        <v>1</v>
      </c>
      <c r="J69" s="3">
        <f t="shared" si="6"/>
        <v>1</v>
      </c>
      <c r="K69" s="3">
        <f t="shared" si="7"/>
        <v>1</v>
      </c>
      <c r="L69" s="13" t="str">
        <f t="shared" si="8"/>
        <v>Female</v>
      </c>
    </row>
    <row r="70" spans="1:12" x14ac:dyDescent="0.2">
      <c r="A70" s="3">
        <v>63666</v>
      </c>
      <c r="B70" s="3">
        <v>33</v>
      </c>
      <c r="C70" s="3">
        <v>1</v>
      </c>
      <c r="D70" s="3">
        <v>1780000000000</v>
      </c>
      <c r="E70" s="3">
        <v>1780000000000</v>
      </c>
      <c r="F70" s="3">
        <v>0</v>
      </c>
      <c r="G70" s="3"/>
      <c r="H70" s="4">
        <v>322</v>
      </c>
      <c r="I70" s="3">
        <v>1</v>
      </c>
      <c r="J70" s="3">
        <f t="shared" si="6"/>
        <v>1</v>
      </c>
      <c r="K70" s="3">
        <f t="shared" si="7"/>
        <v>1</v>
      </c>
      <c r="L70" s="13" t="str">
        <f t="shared" si="8"/>
        <v>Female</v>
      </c>
    </row>
    <row r="71" spans="1:12" x14ac:dyDescent="0.2">
      <c r="A71" s="3">
        <v>65682</v>
      </c>
      <c r="B71" s="3">
        <v>23</v>
      </c>
      <c r="C71" s="3">
        <v>1</v>
      </c>
      <c r="D71" s="3">
        <v>1780000000000</v>
      </c>
      <c r="E71" s="3">
        <v>1780000000000</v>
      </c>
      <c r="F71" s="3">
        <v>0</v>
      </c>
      <c r="G71" s="3"/>
      <c r="H71" s="4">
        <v>288</v>
      </c>
      <c r="I71" s="3">
        <v>1</v>
      </c>
      <c r="J71" s="3">
        <f t="shared" si="6"/>
        <v>1</v>
      </c>
      <c r="K71" s="3">
        <f t="shared" si="7"/>
        <v>1</v>
      </c>
      <c r="L71" s="13" t="str">
        <f t="shared" si="8"/>
        <v>Female</v>
      </c>
    </row>
    <row r="72" spans="1:12" x14ac:dyDescent="0.2">
      <c r="A72" s="3">
        <v>66492</v>
      </c>
      <c r="B72" s="3">
        <v>20</v>
      </c>
      <c r="C72" s="3">
        <v>1</v>
      </c>
      <c r="D72" s="3">
        <v>1780000000000</v>
      </c>
      <c r="E72" s="3">
        <v>1780000000000</v>
      </c>
      <c r="F72" s="3">
        <v>0</v>
      </c>
      <c r="G72" s="3"/>
      <c r="H72" s="4">
        <v>566</v>
      </c>
      <c r="I72" s="3">
        <v>1</v>
      </c>
      <c r="J72" s="3">
        <f t="shared" si="6"/>
        <v>1</v>
      </c>
      <c r="K72" s="3">
        <f t="shared" si="7"/>
        <v>1</v>
      </c>
      <c r="L72" s="13" t="str">
        <f t="shared" si="8"/>
        <v>Female</v>
      </c>
    </row>
    <row r="73" spans="1:12" x14ac:dyDescent="0.2">
      <c r="A73" s="3">
        <v>66593</v>
      </c>
      <c r="B73" s="3">
        <v>30</v>
      </c>
      <c r="C73" s="3">
        <v>1</v>
      </c>
      <c r="D73" s="3">
        <v>1780000000000</v>
      </c>
      <c r="E73" s="3">
        <v>1780000000000</v>
      </c>
      <c r="F73" s="3">
        <v>0</v>
      </c>
      <c r="G73" s="3"/>
      <c r="H73" s="4">
        <v>422</v>
      </c>
      <c r="I73" s="3">
        <v>1</v>
      </c>
      <c r="J73" s="3">
        <f t="shared" si="6"/>
        <v>1</v>
      </c>
      <c r="K73" s="3">
        <f t="shared" si="7"/>
        <v>1</v>
      </c>
      <c r="L73" s="13" t="str">
        <f t="shared" si="8"/>
        <v>Female</v>
      </c>
    </row>
    <row r="74" spans="1:12" x14ac:dyDescent="0.2">
      <c r="A74" s="3">
        <v>67878</v>
      </c>
      <c r="B74" s="3">
        <v>32</v>
      </c>
      <c r="C74" s="3">
        <v>2</v>
      </c>
      <c r="D74" s="3">
        <v>1780000000000</v>
      </c>
      <c r="E74" s="3">
        <v>1780000000000</v>
      </c>
      <c r="F74" s="3">
        <v>0</v>
      </c>
      <c r="G74" s="3"/>
      <c r="H74" s="4">
        <v>581</v>
      </c>
      <c r="I74" s="3">
        <v>1</v>
      </c>
      <c r="J74" s="3">
        <f t="shared" si="6"/>
        <v>1</v>
      </c>
      <c r="K74" s="3">
        <f t="shared" si="7"/>
        <v>1</v>
      </c>
      <c r="L74" s="13" t="str">
        <f t="shared" si="8"/>
        <v>Male</v>
      </c>
    </row>
    <row r="75" spans="1:12" x14ac:dyDescent="0.2">
      <c r="A75" s="3">
        <v>68635</v>
      </c>
      <c r="B75" s="3">
        <v>19</v>
      </c>
      <c r="C75" s="3">
        <v>2</v>
      </c>
      <c r="D75" s="3">
        <v>1780000000000</v>
      </c>
      <c r="E75" s="3">
        <v>1780000000000</v>
      </c>
      <c r="F75" s="3">
        <v>0</v>
      </c>
      <c r="G75" s="3"/>
      <c r="H75" s="4">
        <v>249</v>
      </c>
      <c r="I75" s="3">
        <v>1</v>
      </c>
      <c r="J75" s="3">
        <f t="shared" si="6"/>
        <v>1</v>
      </c>
      <c r="K75" s="3">
        <f t="shared" si="7"/>
        <v>1</v>
      </c>
      <c r="L75" s="13" t="str">
        <f t="shared" si="8"/>
        <v>Male</v>
      </c>
    </row>
    <row r="76" spans="1:12" x14ac:dyDescent="0.2">
      <c r="A76" s="3">
        <v>72484</v>
      </c>
      <c r="B76" s="3">
        <v>50</v>
      </c>
      <c r="C76" s="3">
        <v>2</v>
      </c>
      <c r="D76" s="3">
        <v>1780000000000</v>
      </c>
      <c r="E76" s="3">
        <v>1780000000000</v>
      </c>
      <c r="F76" s="3">
        <v>0</v>
      </c>
      <c r="G76" s="3"/>
      <c r="H76" s="4">
        <v>411</v>
      </c>
      <c r="I76" s="3">
        <v>1</v>
      </c>
      <c r="J76" s="3">
        <f t="shared" si="6"/>
        <v>1</v>
      </c>
      <c r="K76" s="3">
        <f t="shared" si="7"/>
        <v>1</v>
      </c>
      <c r="L76" s="13" t="str">
        <f t="shared" si="8"/>
        <v>Male</v>
      </c>
    </row>
    <row r="77" spans="1:12" x14ac:dyDescent="0.2">
      <c r="A77" s="3">
        <v>74226</v>
      </c>
      <c r="B77" s="3">
        <v>48</v>
      </c>
      <c r="C77" s="3">
        <v>2</v>
      </c>
      <c r="D77" s="3">
        <v>1780000000000</v>
      </c>
      <c r="E77" s="3">
        <v>1780000000000</v>
      </c>
      <c r="F77" s="3">
        <v>0</v>
      </c>
      <c r="G77" s="3"/>
      <c r="H77" s="4">
        <v>443</v>
      </c>
      <c r="I77" s="3">
        <v>1</v>
      </c>
      <c r="J77" s="3">
        <f t="shared" si="6"/>
        <v>1</v>
      </c>
      <c r="K77" s="3">
        <f t="shared" si="7"/>
        <v>1</v>
      </c>
      <c r="L77" s="13" t="str">
        <f t="shared" si="8"/>
        <v>Male</v>
      </c>
    </row>
    <row r="78" spans="1:12" x14ac:dyDescent="0.2">
      <c r="A78" s="3">
        <v>76239</v>
      </c>
      <c r="B78" s="3">
        <v>26</v>
      </c>
      <c r="C78" s="3">
        <v>1</v>
      </c>
      <c r="D78" s="3">
        <v>1780000000000</v>
      </c>
      <c r="E78" s="3">
        <v>1780000000000</v>
      </c>
      <c r="F78" s="3">
        <v>0</v>
      </c>
      <c r="G78" s="3"/>
      <c r="H78" s="4">
        <v>1028</v>
      </c>
      <c r="I78" s="3">
        <v>1</v>
      </c>
      <c r="J78" s="3">
        <f t="shared" si="6"/>
        <v>1</v>
      </c>
      <c r="K78" s="3">
        <f t="shared" si="7"/>
        <v>1</v>
      </c>
      <c r="L78" s="13" t="str">
        <f t="shared" si="8"/>
        <v>Female</v>
      </c>
    </row>
    <row r="79" spans="1:12" x14ac:dyDescent="0.2">
      <c r="A79" s="3">
        <v>80165</v>
      </c>
      <c r="B79" s="3">
        <v>21</v>
      </c>
      <c r="C79" s="3">
        <v>1</v>
      </c>
      <c r="D79" s="3">
        <v>1780000000000</v>
      </c>
      <c r="E79" s="3">
        <v>1780000000000</v>
      </c>
      <c r="F79" s="3">
        <v>0</v>
      </c>
      <c r="G79" s="3"/>
      <c r="H79" s="4">
        <v>151</v>
      </c>
      <c r="I79" s="3">
        <v>1</v>
      </c>
      <c r="J79" s="3">
        <f t="shared" si="6"/>
        <v>1</v>
      </c>
      <c r="K79" s="3">
        <f t="shared" si="7"/>
        <v>1</v>
      </c>
      <c r="L79" s="13" t="str">
        <f t="shared" si="8"/>
        <v>Female</v>
      </c>
    </row>
    <row r="80" spans="1:12" x14ac:dyDescent="0.2">
      <c r="A80" s="3">
        <v>80974</v>
      </c>
      <c r="B80" s="3">
        <v>28</v>
      </c>
      <c r="C80" s="3">
        <v>2</v>
      </c>
      <c r="D80" s="3">
        <v>1780000000000</v>
      </c>
      <c r="E80" s="3">
        <v>1780000000000</v>
      </c>
      <c r="F80" s="3">
        <v>0</v>
      </c>
      <c r="G80" s="3"/>
      <c r="H80" s="4">
        <v>416</v>
      </c>
      <c r="I80" s="3">
        <v>1</v>
      </c>
      <c r="J80" s="3">
        <f t="shared" si="6"/>
        <v>1</v>
      </c>
      <c r="K80" s="3">
        <f t="shared" si="7"/>
        <v>1</v>
      </c>
      <c r="L80" s="13" t="str">
        <f t="shared" si="8"/>
        <v>Male</v>
      </c>
    </row>
    <row r="81" spans="1:12" x14ac:dyDescent="0.2">
      <c r="A81" s="3">
        <v>81820</v>
      </c>
      <c r="B81" s="3">
        <v>37</v>
      </c>
      <c r="C81" s="3">
        <v>2</v>
      </c>
      <c r="D81" s="3">
        <v>1780000000000</v>
      </c>
      <c r="E81" s="3">
        <v>1780000000000</v>
      </c>
      <c r="F81" s="3">
        <v>0</v>
      </c>
      <c r="G81" s="3"/>
      <c r="H81" s="4">
        <v>693</v>
      </c>
      <c r="I81" s="3">
        <v>1</v>
      </c>
      <c r="J81" s="3">
        <f t="shared" si="6"/>
        <v>1</v>
      </c>
      <c r="K81" s="3">
        <f t="shared" si="7"/>
        <v>1</v>
      </c>
      <c r="L81" s="13" t="str">
        <f t="shared" si="8"/>
        <v>Male</v>
      </c>
    </row>
    <row r="82" spans="1:12" x14ac:dyDescent="0.2">
      <c r="A82" s="3">
        <v>83594</v>
      </c>
      <c r="B82" s="3">
        <v>44</v>
      </c>
      <c r="C82" s="3">
        <v>2</v>
      </c>
      <c r="D82" s="3">
        <v>1780000000000</v>
      </c>
      <c r="E82" s="3">
        <v>1780000000000</v>
      </c>
      <c r="F82" s="3">
        <v>0</v>
      </c>
      <c r="G82" s="3"/>
      <c r="H82" s="4">
        <v>488</v>
      </c>
      <c r="I82" s="3">
        <v>1</v>
      </c>
      <c r="J82" s="3">
        <f t="shared" si="6"/>
        <v>1</v>
      </c>
      <c r="K82" s="3">
        <f t="shared" si="7"/>
        <v>1</v>
      </c>
      <c r="L82" s="13" t="str">
        <f t="shared" si="8"/>
        <v>Male</v>
      </c>
    </row>
    <row r="83" spans="1:12" x14ac:dyDescent="0.2">
      <c r="A83" s="3">
        <v>84074</v>
      </c>
      <c r="B83" s="3">
        <v>29</v>
      </c>
      <c r="C83" s="3">
        <v>2</v>
      </c>
      <c r="D83" s="3">
        <v>1780000000000</v>
      </c>
      <c r="E83" s="3">
        <v>1780000000000</v>
      </c>
      <c r="F83" s="3">
        <v>0</v>
      </c>
      <c r="G83" s="3"/>
      <c r="H83" s="4">
        <v>550</v>
      </c>
      <c r="I83" s="3">
        <v>1</v>
      </c>
      <c r="J83" s="3">
        <f t="shared" si="6"/>
        <v>1</v>
      </c>
      <c r="K83" s="3">
        <f t="shared" si="7"/>
        <v>1</v>
      </c>
      <c r="L83" s="13" t="str">
        <f t="shared" si="8"/>
        <v>Male</v>
      </c>
    </row>
    <row r="84" spans="1:12" x14ac:dyDescent="0.2">
      <c r="A84" s="3">
        <v>84157</v>
      </c>
      <c r="B84" s="3">
        <v>26</v>
      </c>
      <c r="C84" s="3">
        <v>1</v>
      </c>
      <c r="D84" s="3">
        <v>1780000000000</v>
      </c>
      <c r="E84" s="3">
        <v>1780000000000</v>
      </c>
      <c r="F84" s="3">
        <v>0</v>
      </c>
      <c r="G84" s="3"/>
      <c r="H84" s="4">
        <v>550</v>
      </c>
      <c r="I84" s="3">
        <v>1</v>
      </c>
      <c r="J84" s="3">
        <f t="shared" si="6"/>
        <v>1</v>
      </c>
      <c r="K84" s="3">
        <f t="shared" si="7"/>
        <v>1</v>
      </c>
      <c r="L84" s="13" t="str">
        <f t="shared" si="8"/>
        <v>Female</v>
      </c>
    </row>
    <row r="85" spans="1:12" x14ac:dyDescent="0.2">
      <c r="A85" s="3">
        <v>84547</v>
      </c>
      <c r="B85" s="3">
        <v>32</v>
      </c>
      <c r="C85" s="3">
        <v>2</v>
      </c>
      <c r="D85" s="3">
        <v>1780000000000</v>
      </c>
      <c r="E85" s="3">
        <v>1780000000000</v>
      </c>
      <c r="F85" s="3">
        <v>0</v>
      </c>
      <c r="G85" s="3"/>
      <c r="H85" s="4">
        <v>397</v>
      </c>
      <c r="I85" s="3">
        <v>1</v>
      </c>
      <c r="J85" s="3">
        <f t="shared" si="6"/>
        <v>1</v>
      </c>
      <c r="K85" s="3">
        <f t="shared" si="7"/>
        <v>1</v>
      </c>
      <c r="L85" s="13" t="str">
        <f t="shared" si="8"/>
        <v>Male</v>
      </c>
    </row>
    <row r="86" spans="1:12" x14ac:dyDescent="0.2">
      <c r="A86" s="3">
        <v>84878</v>
      </c>
      <c r="B86" s="3">
        <v>40</v>
      </c>
      <c r="C86" s="3">
        <v>1</v>
      </c>
      <c r="D86" s="3">
        <v>1780000000000</v>
      </c>
      <c r="E86" s="3">
        <v>1780000000000</v>
      </c>
      <c r="F86" s="3">
        <v>0</v>
      </c>
      <c r="G86" s="3"/>
      <c r="H86" s="4">
        <v>151</v>
      </c>
      <c r="I86" s="3">
        <v>1</v>
      </c>
      <c r="J86" s="3">
        <f t="shared" si="6"/>
        <v>1</v>
      </c>
      <c r="K86" s="3">
        <f t="shared" si="7"/>
        <v>1</v>
      </c>
      <c r="L86" s="13" t="str">
        <f t="shared" si="8"/>
        <v>Female</v>
      </c>
    </row>
    <row r="87" spans="1:12" x14ac:dyDescent="0.2">
      <c r="A87" s="3">
        <v>84905</v>
      </c>
      <c r="B87" s="3">
        <v>37</v>
      </c>
      <c r="C87" s="3">
        <v>2</v>
      </c>
      <c r="D87" s="3">
        <v>1780000000000</v>
      </c>
      <c r="E87" s="3">
        <v>1780000000000</v>
      </c>
      <c r="F87" s="3">
        <v>0</v>
      </c>
      <c r="G87" s="3"/>
      <c r="H87" s="4">
        <v>174</v>
      </c>
      <c r="I87" s="3">
        <v>1</v>
      </c>
      <c r="J87" s="3">
        <f t="shared" si="6"/>
        <v>1</v>
      </c>
      <c r="K87" s="3">
        <f t="shared" si="7"/>
        <v>1</v>
      </c>
      <c r="L87" s="13" t="str">
        <f t="shared" si="8"/>
        <v>Male</v>
      </c>
    </row>
    <row r="88" spans="1:12" x14ac:dyDescent="0.2">
      <c r="A88" s="3">
        <v>85289</v>
      </c>
      <c r="B88" s="3">
        <v>39</v>
      </c>
      <c r="C88" s="3">
        <v>1</v>
      </c>
      <c r="D88" s="3">
        <v>1780000000000</v>
      </c>
      <c r="E88" s="3">
        <v>1780000000000</v>
      </c>
      <c r="F88" s="3">
        <v>0</v>
      </c>
      <c r="G88" s="3"/>
      <c r="H88" s="4">
        <v>1009</v>
      </c>
      <c r="I88" s="3">
        <v>1</v>
      </c>
      <c r="J88" s="3">
        <f t="shared" si="6"/>
        <v>1</v>
      </c>
      <c r="K88" s="3">
        <f t="shared" si="7"/>
        <v>1</v>
      </c>
      <c r="L88" s="13" t="str">
        <f t="shared" si="8"/>
        <v>Female</v>
      </c>
    </row>
    <row r="89" spans="1:12" x14ac:dyDescent="0.2">
      <c r="A89" s="3">
        <v>85637</v>
      </c>
      <c r="B89" s="3">
        <v>28</v>
      </c>
      <c r="C89" s="3">
        <v>2</v>
      </c>
      <c r="D89" s="3">
        <v>1780000000000</v>
      </c>
      <c r="E89" s="3">
        <v>1780000000000</v>
      </c>
      <c r="F89" s="3">
        <v>0</v>
      </c>
      <c r="G89" s="3"/>
      <c r="H89" s="4">
        <v>421</v>
      </c>
      <c r="I89" s="3">
        <v>1</v>
      </c>
      <c r="J89" s="3">
        <f t="shared" si="6"/>
        <v>1</v>
      </c>
      <c r="K89" s="3">
        <f t="shared" si="7"/>
        <v>1</v>
      </c>
      <c r="L89" s="13" t="str">
        <f t="shared" si="8"/>
        <v>Male</v>
      </c>
    </row>
    <row r="90" spans="1:12" x14ac:dyDescent="0.2">
      <c r="A90" s="3">
        <v>85955</v>
      </c>
      <c r="B90" s="3">
        <v>48</v>
      </c>
      <c r="C90" s="3">
        <v>2</v>
      </c>
      <c r="D90" s="3">
        <v>1780000000000</v>
      </c>
      <c r="E90" s="3">
        <v>1780000000000</v>
      </c>
      <c r="F90" s="3">
        <v>0</v>
      </c>
      <c r="G90" s="3"/>
      <c r="H90" s="4">
        <v>160</v>
      </c>
      <c r="I90" s="3">
        <v>1</v>
      </c>
      <c r="J90" s="3">
        <f t="shared" si="6"/>
        <v>1</v>
      </c>
      <c r="K90" s="3">
        <f t="shared" si="7"/>
        <v>1</v>
      </c>
      <c r="L90" s="13" t="str">
        <f t="shared" si="8"/>
        <v>Male</v>
      </c>
    </row>
    <row r="91" spans="1:12" x14ac:dyDescent="0.2">
      <c r="A91" s="3">
        <v>87894</v>
      </c>
      <c r="B91" s="3">
        <v>35</v>
      </c>
      <c r="C91" s="3">
        <v>2</v>
      </c>
      <c r="D91" s="3">
        <v>1780000000000</v>
      </c>
      <c r="E91" s="3">
        <v>1780000000000</v>
      </c>
      <c r="F91" s="3">
        <v>0</v>
      </c>
      <c r="G91" s="3"/>
      <c r="H91" s="4">
        <v>277</v>
      </c>
      <c r="I91" s="3">
        <v>1</v>
      </c>
      <c r="J91" s="3">
        <f t="shared" si="6"/>
        <v>1</v>
      </c>
      <c r="K91" s="3">
        <f t="shared" si="7"/>
        <v>1</v>
      </c>
      <c r="L91" s="13" t="str">
        <f t="shared" si="8"/>
        <v>Male</v>
      </c>
    </row>
    <row r="92" spans="1:12" x14ac:dyDescent="0.2">
      <c r="A92" s="3">
        <v>88807</v>
      </c>
      <c r="B92" s="3">
        <v>43</v>
      </c>
      <c r="C92" s="3">
        <v>2</v>
      </c>
      <c r="D92" s="3">
        <v>1780000000000</v>
      </c>
      <c r="E92" s="3">
        <v>1780000000000</v>
      </c>
      <c r="F92" s="3">
        <v>0</v>
      </c>
      <c r="G92" s="3"/>
      <c r="H92" s="4">
        <v>1048</v>
      </c>
      <c r="I92" s="3">
        <v>1</v>
      </c>
      <c r="J92" s="3">
        <f t="shared" si="6"/>
        <v>1</v>
      </c>
      <c r="K92" s="3">
        <f t="shared" si="7"/>
        <v>1</v>
      </c>
      <c r="L92" s="13" t="str">
        <f t="shared" si="8"/>
        <v>Male</v>
      </c>
    </row>
    <row r="93" spans="1:12" x14ac:dyDescent="0.2">
      <c r="A93" s="3">
        <v>91927</v>
      </c>
      <c r="B93" s="3">
        <v>49</v>
      </c>
      <c r="C93" s="3">
        <v>1</v>
      </c>
      <c r="D93" s="3">
        <v>1780000000000</v>
      </c>
      <c r="E93" s="3">
        <v>1780000000000</v>
      </c>
      <c r="F93" s="3">
        <v>0</v>
      </c>
      <c r="G93" s="3"/>
      <c r="H93" s="4">
        <v>512</v>
      </c>
      <c r="I93" s="3">
        <v>1</v>
      </c>
      <c r="J93" s="3">
        <f t="shared" si="6"/>
        <v>1</v>
      </c>
      <c r="K93" s="3">
        <f t="shared" si="7"/>
        <v>1</v>
      </c>
      <c r="L93" s="13" t="str">
        <f t="shared" si="8"/>
        <v>Female</v>
      </c>
    </row>
    <row r="94" spans="1:12" x14ac:dyDescent="0.2">
      <c r="A94" s="3">
        <v>92023</v>
      </c>
      <c r="B94" s="3">
        <v>43</v>
      </c>
      <c r="C94" s="3">
        <v>1</v>
      </c>
      <c r="D94" s="3">
        <v>1780000000000</v>
      </c>
      <c r="E94" s="3">
        <v>1780000000000</v>
      </c>
      <c r="F94" s="3">
        <v>0</v>
      </c>
      <c r="G94" s="3"/>
      <c r="H94" s="4">
        <v>731</v>
      </c>
      <c r="I94" s="3">
        <v>1</v>
      </c>
      <c r="J94" s="3">
        <f t="shared" si="6"/>
        <v>1</v>
      </c>
      <c r="K94" s="3">
        <f t="shared" si="7"/>
        <v>1</v>
      </c>
      <c r="L94" s="13" t="str">
        <f t="shared" si="8"/>
        <v>Female</v>
      </c>
    </row>
    <row r="95" spans="1:12" x14ac:dyDescent="0.2">
      <c r="A95" s="3">
        <v>93346</v>
      </c>
      <c r="B95" s="3">
        <v>39</v>
      </c>
      <c r="C95" s="3">
        <v>2</v>
      </c>
      <c r="D95" s="3">
        <v>1780000000000</v>
      </c>
      <c r="E95" s="3">
        <v>1780000000000</v>
      </c>
      <c r="F95" s="3">
        <v>0</v>
      </c>
      <c r="G95" s="3"/>
      <c r="H95" s="4">
        <v>842</v>
      </c>
      <c r="I95" s="3">
        <v>1</v>
      </c>
      <c r="J95" s="3">
        <f t="shared" si="6"/>
        <v>1</v>
      </c>
      <c r="K95" s="3">
        <f t="shared" si="7"/>
        <v>1</v>
      </c>
      <c r="L95" s="13" t="str">
        <f t="shared" si="8"/>
        <v>Male</v>
      </c>
    </row>
    <row r="96" spans="1:12" x14ac:dyDescent="0.2">
      <c r="A96" s="3">
        <v>93826</v>
      </c>
      <c r="B96" s="3">
        <v>31</v>
      </c>
      <c r="C96" s="3">
        <v>1</v>
      </c>
      <c r="D96" s="3">
        <v>1780000000000</v>
      </c>
      <c r="E96" s="3">
        <v>1780000000000</v>
      </c>
      <c r="F96" s="3">
        <v>0</v>
      </c>
      <c r="G96" s="3"/>
      <c r="H96" s="4">
        <v>134</v>
      </c>
      <c r="I96" s="3">
        <v>1</v>
      </c>
      <c r="J96" s="3">
        <f t="shared" si="6"/>
        <v>1</v>
      </c>
      <c r="K96" s="3">
        <f t="shared" si="7"/>
        <v>1</v>
      </c>
      <c r="L96" s="13" t="str">
        <f t="shared" si="8"/>
        <v>Female</v>
      </c>
    </row>
    <row r="97" spans="1:12" x14ac:dyDescent="0.2">
      <c r="A97" s="3">
        <v>93940</v>
      </c>
      <c r="B97" s="3">
        <v>41</v>
      </c>
      <c r="C97" s="3">
        <v>1</v>
      </c>
      <c r="D97" s="3">
        <v>1780000000000</v>
      </c>
      <c r="E97" s="3">
        <v>1780000000000</v>
      </c>
      <c r="F97" s="3">
        <v>0</v>
      </c>
      <c r="G97" s="3"/>
      <c r="H97" s="4">
        <v>622</v>
      </c>
      <c r="I97" s="3">
        <v>1</v>
      </c>
      <c r="J97" s="3">
        <f t="shared" si="6"/>
        <v>1</v>
      </c>
      <c r="K97" s="3">
        <f t="shared" si="7"/>
        <v>1</v>
      </c>
      <c r="L97" s="13" t="str">
        <f t="shared" si="8"/>
        <v>Female</v>
      </c>
    </row>
    <row r="98" spans="1:12" x14ac:dyDescent="0.2">
      <c r="A98" s="3">
        <v>96154</v>
      </c>
      <c r="B98" s="3">
        <v>25</v>
      </c>
      <c r="C98" s="3">
        <v>1</v>
      </c>
      <c r="D98" s="3">
        <v>1780000000000</v>
      </c>
      <c r="E98" s="3">
        <v>1780000000000</v>
      </c>
      <c r="F98" s="3">
        <v>0</v>
      </c>
      <c r="G98" s="3"/>
      <c r="H98" s="4">
        <v>539</v>
      </c>
      <c r="I98" s="3">
        <v>1</v>
      </c>
      <c r="J98" s="3">
        <f t="shared" si="6"/>
        <v>1</v>
      </c>
      <c r="K98" s="3">
        <f t="shared" ref="K98:K129" si="9">IF(AND(I98=1,J98=1),1,0)</f>
        <v>1</v>
      </c>
      <c r="L98" s="13" t="str">
        <f t="shared" si="8"/>
        <v>Female</v>
      </c>
    </row>
    <row r="99" spans="1:12" x14ac:dyDescent="0.2">
      <c r="A99" s="3">
        <v>96853</v>
      </c>
      <c r="B99" s="3">
        <v>37</v>
      </c>
      <c r="C99" s="3">
        <v>1</v>
      </c>
      <c r="D99" s="3">
        <v>1780000000000</v>
      </c>
      <c r="E99" s="3">
        <v>1780000000000</v>
      </c>
      <c r="F99" s="3">
        <v>0</v>
      </c>
      <c r="G99" s="3"/>
      <c r="H99" s="4">
        <v>660</v>
      </c>
      <c r="I99" s="3">
        <v>1</v>
      </c>
      <c r="J99" s="3">
        <f t="shared" si="6"/>
        <v>1</v>
      </c>
      <c r="K99" s="3">
        <f t="shared" si="9"/>
        <v>1</v>
      </c>
      <c r="L99" s="13" t="str">
        <f t="shared" si="8"/>
        <v>Female</v>
      </c>
    </row>
    <row r="100" spans="1:12" x14ac:dyDescent="0.2">
      <c r="A100" s="3">
        <v>97913</v>
      </c>
      <c r="B100" s="3">
        <v>48</v>
      </c>
      <c r="C100" s="3">
        <v>2</v>
      </c>
      <c r="D100" s="3">
        <v>1780000000000</v>
      </c>
      <c r="E100" s="3">
        <v>1780000000000</v>
      </c>
      <c r="F100" s="3">
        <v>0</v>
      </c>
      <c r="G100" s="3"/>
      <c r="H100" s="4">
        <v>161</v>
      </c>
      <c r="I100" s="3">
        <v>1</v>
      </c>
      <c r="J100" s="3">
        <f t="shared" si="6"/>
        <v>1</v>
      </c>
      <c r="K100" s="3">
        <f t="shared" si="9"/>
        <v>1</v>
      </c>
      <c r="L100" s="13" t="str">
        <f t="shared" si="8"/>
        <v>Male</v>
      </c>
    </row>
    <row r="101" spans="1:12" x14ac:dyDescent="0.2">
      <c r="A101" s="3">
        <v>99709</v>
      </c>
      <c r="B101" s="3">
        <v>30</v>
      </c>
      <c r="C101" s="3">
        <v>2</v>
      </c>
      <c r="D101" s="3">
        <v>1780000000000</v>
      </c>
      <c r="E101" s="3">
        <v>1780000000000</v>
      </c>
      <c r="F101" s="3">
        <v>0</v>
      </c>
      <c r="G101" s="3"/>
      <c r="H101" s="4">
        <v>1431</v>
      </c>
      <c r="I101" s="3">
        <v>1</v>
      </c>
      <c r="J101" s="3">
        <f t="shared" si="6"/>
        <v>1</v>
      </c>
      <c r="K101" s="3">
        <f t="shared" si="9"/>
        <v>1</v>
      </c>
      <c r="L101" s="13" t="str">
        <f t="shared" si="8"/>
        <v>Male</v>
      </c>
    </row>
    <row r="102" spans="1:12" x14ac:dyDescent="0.2">
      <c r="B102">
        <f>MEDIAN(B2:B101)</f>
        <v>34</v>
      </c>
    </row>
  </sheetData>
  <autoFilter ref="A1:L10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"/>
  <sheetViews>
    <sheetView workbookViewId="0">
      <pane xSplit="1" ySplit="1" topLeftCell="AD2" activePane="bottomRight" state="frozen"/>
      <selection pane="topRight"/>
      <selection pane="bottomLeft"/>
      <selection pane="bottomRight" activeCell="AK9" sqref="AK9"/>
    </sheetView>
  </sheetViews>
  <sheetFormatPr baseColWidth="10" defaultColWidth="8.83203125" defaultRowHeight="15" x14ac:dyDescent="0.2"/>
  <cols>
    <col min="1" max="1" width="17" customWidth="1"/>
    <col min="2" max="2" width="20" customWidth="1"/>
    <col min="3" max="3" width="21" customWidth="1"/>
    <col min="4" max="4" width="25" customWidth="1"/>
    <col min="5" max="5" width="19" customWidth="1"/>
    <col min="6" max="6" width="16" customWidth="1"/>
    <col min="7" max="7" width="22" customWidth="1"/>
    <col min="8" max="8" width="23" customWidth="1"/>
    <col min="9" max="9" width="27" customWidth="1"/>
    <col min="10" max="10" width="21" customWidth="1"/>
    <col min="11" max="11" width="18" customWidth="1"/>
    <col min="12" max="12" width="22" customWidth="1"/>
    <col min="13" max="13" width="23" customWidth="1"/>
    <col min="14" max="14" width="27" customWidth="1"/>
    <col min="15" max="15" width="21" customWidth="1"/>
    <col min="16" max="16" width="18" customWidth="1"/>
    <col min="17" max="17" width="21" customWidth="1"/>
    <col min="18" max="18" width="22" customWidth="1"/>
    <col min="19" max="19" width="26" customWidth="1"/>
    <col min="20" max="20" width="20" customWidth="1"/>
    <col min="21" max="21" width="17" customWidth="1"/>
    <col min="22" max="24" width="28" customWidth="1"/>
    <col min="25" max="25" width="27" customWidth="1"/>
    <col min="26" max="26" width="24" customWidth="1"/>
    <col min="27" max="27" width="27" customWidth="1"/>
    <col min="28" max="29" width="28" customWidth="1"/>
    <col min="30" max="30" width="26" customWidth="1"/>
    <col min="31" max="31" width="23" customWidth="1"/>
  </cols>
  <sheetData>
    <row r="1" spans="1:33" x14ac:dyDescent="0.2">
      <c r="A1" s="1" t="s">
        <v>25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G1" s="2" t="s">
        <v>41</v>
      </c>
    </row>
    <row r="2" spans="1:33" x14ac:dyDescent="0.2">
      <c r="A2" s="3">
        <v>10280</v>
      </c>
      <c r="B2" s="3">
        <v>2.75</v>
      </c>
      <c r="C2" s="3">
        <v>3.44</v>
      </c>
      <c r="D2" s="3">
        <v>3.22</v>
      </c>
      <c r="E2" s="3">
        <v>4.13</v>
      </c>
      <c r="F2" s="3">
        <v>3.3</v>
      </c>
      <c r="G2" s="3">
        <v>2.7875000000000001</v>
      </c>
      <c r="H2" s="3">
        <v>4.4555555555555504</v>
      </c>
      <c r="I2" s="3">
        <v>3</v>
      </c>
      <c r="J2" s="3">
        <v>2.9125000000000001</v>
      </c>
      <c r="K2" s="3">
        <v>2.34</v>
      </c>
      <c r="L2" s="3">
        <v>2.8250000000000002</v>
      </c>
      <c r="M2" s="3">
        <v>4.43333333333333</v>
      </c>
      <c r="N2" s="3">
        <v>2.9888888888888898</v>
      </c>
      <c r="O2" s="3">
        <v>1.8125</v>
      </c>
      <c r="P2" s="3">
        <v>2.17</v>
      </c>
      <c r="Q2" s="3">
        <v>3.0125000000000002</v>
      </c>
      <c r="R2" s="3">
        <v>3.9111111111111101</v>
      </c>
      <c r="S2" s="3">
        <v>3.0111111111111102</v>
      </c>
      <c r="T2" s="3">
        <v>1.7</v>
      </c>
      <c r="U2" s="3">
        <v>2.31</v>
      </c>
      <c r="V2" s="3">
        <v>3.6124999999999998</v>
      </c>
      <c r="W2" s="3">
        <v>4.4444444444444402</v>
      </c>
      <c r="X2" s="3">
        <v>2.9555555555555602</v>
      </c>
      <c r="Y2" s="3">
        <v>3</v>
      </c>
      <c r="Z2" s="3">
        <v>2.59</v>
      </c>
      <c r="AA2" s="3">
        <v>3.9375</v>
      </c>
      <c r="AB2" s="3">
        <v>4.74444444444444</v>
      </c>
      <c r="AC2" s="3">
        <v>2.8</v>
      </c>
      <c r="AD2" s="3">
        <v>2</v>
      </c>
      <c r="AE2" s="3">
        <v>2.95</v>
      </c>
      <c r="AG2" s="5" t="s">
        <v>109</v>
      </c>
    </row>
    <row r="3" spans="1:33" x14ac:dyDescent="0.2">
      <c r="A3" s="3">
        <v>10366</v>
      </c>
      <c r="B3" s="3">
        <v>2.88</v>
      </c>
      <c r="C3" s="3">
        <v>4.33</v>
      </c>
      <c r="D3" s="3">
        <v>3.44</v>
      </c>
      <c r="E3" s="3">
        <v>1.63</v>
      </c>
      <c r="F3" s="3">
        <v>4.3</v>
      </c>
      <c r="G3" s="3">
        <v>2.9750000000000001</v>
      </c>
      <c r="H3" s="3">
        <v>3.8444444444444499</v>
      </c>
      <c r="I3" s="3">
        <v>2.18888888888889</v>
      </c>
      <c r="J3" s="3">
        <v>2.6375000000000002</v>
      </c>
      <c r="K3" s="3">
        <v>4.2</v>
      </c>
      <c r="L3" s="3">
        <v>3.3250000000000002</v>
      </c>
      <c r="M3" s="3">
        <v>3.81111111111111</v>
      </c>
      <c r="N3" s="3">
        <v>2.1777777777777798</v>
      </c>
      <c r="O3" s="3">
        <v>2.7124999999999999</v>
      </c>
      <c r="P3" s="3">
        <v>3.99</v>
      </c>
      <c r="Q3" s="3">
        <v>3.2374999999999998</v>
      </c>
      <c r="R3" s="3">
        <v>3.6666666666666701</v>
      </c>
      <c r="S3" s="3">
        <v>2.1</v>
      </c>
      <c r="T3" s="3">
        <v>3</v>
      </c>
      <c r="U3" s="3">
        <v>4.05</v>
      </c>
      <c r="V3" s="3">
        <v>3.4125000000000001</v>
      </c>
      <c r="W3" s="3">
        <v>3.9888888888888898</v>
      </c>
      <c r="X3" s="3">
        <v>2.1111111111111098</v>
      </c>
      <c r="Y3" s="3">
        <v>2</v>
      </c>
      <c r="Z3" s="3">
        <v>4.0199999999999996</v>
      </c>
      <c r="AA3" s="3">
        <v>3.2</v>
      </c>
      <c r="AB3" s="3">
        <v>3.87777777777778</v>
      </c>
      <c r="AC3" s="3">
        <v>3.9444444444444402</v>
      </c>
      <c r="AD3" s="3">
        <v>3.6875</v>
      </c>
      <c r="AE3" s="3">
        <v>3.93</v>
      </c>
      <c r="AG3" s="5" t="s">
        <v>108</v>
      </c>
    </row>
    <row r="4" spans="1:33" x14ac:dyDescent="0.2">
      <c r="A4" s="3">
        <v>10454</v>
      </c>
      <c r="B4" s="3">
        <v>3.25</v>
      </c>
      <c r="C4" s="3">
        <v>4.22</v>
      </c>
      <c r="D4" s="3">
        <v>4.5599999999999996</v>
      </c>
      <c r="E4" s="3">
        <v>4</v>
      </c>
      <c r="F4" s="3">
        <v>4.2</v>
      </c>
      <c r="G4" s="3">
        <v>2.75</v>
      </c>
      <c r="H4" s="3">
        <v>4.2111111111111104</v>
      </c>
      <c r="I4" s="3">
        <v>3.1111111111111098</v>
      </c>
      <c r="J4" s="3">
        <v>2.5249999999999999</v>
      </c>
      <c r="K4" s="3">
        <v>3.48</v>
      </c>
      <c r="L4" s="3">
        <v>3</v>
      </c>
      <c r="M4" s="3">
        <v>4.2222222222222197</v>
      </c>
      <c r="N4" s="3">
        <v>3.6555555555555599</v>
      </c>
      <c r="O4" s="3">
        <v>2.6875</v>
      </c>
      <c r="P4" s="3">
        <v>3.68</v>
      </c>
      <c r="Q4" s="3">
        <v>3</v>
      </c>
      <c r="R4" s="3">
        <v>4.2222222222222197</v>
      </c>
      <c r="S4" s="3">
        <v>3.9777777777777801</v>
      </c>
      <c r="T4" s="3">
        <v>2</v>
      </c>
      <c r="U4" s="3">
        <v>3.32</v>
      </c>
      <c r="V4" s="3">
        <v>3.1124999999999998</v>
      </c>
      <c r="W4" s="3">
        <v>4.2333333333333298</v>
      </c>
      <c r="X4" s="3">
        <v>3.1111111111111098</v>
      </c>
      <c r="Y4" s="3">
        <v>2.4750000000000001</v>
      </c>
      <c r="Z4" s="3">
        <v>3.76</v>
      </c>
      <c r="AA4" s="3">
        <v>3.4750000000000001</v>
      </c>
      <c r="AB4" s="3">
        <v>4.0444444444444398</v>
      </c>
      <c r="AC4" s="3">
        <v>3.4777777777777801</v>
      </c>
      <c r="AD4" s="3">
        <v>2.9125000000000001</v>
      </c>
      <c r="AE4" s="3">
        <v>3.56</v>
      </c>
    </row>
    <row r="5" spans="1:33" x14ac:dyDescent="0.2">
      <c r="A5" s="3">
        <v>11517</v>
      </c>
      <c r="B5" s="3">
        <v>2.5</v>
      </c>
      <c r="C5" s="3">
        <v>3.56</v>
      </c>
      <c r="D5" s="3">
        <v>5</v>
      </c>
      <c r="E5" s="3">
        <v>1.75</v>
      </c>
      <c r="F5" s="3">
        <v>4.2</v>
      </c>
      <c r="G5" s="3">
        <v>3.5375000000000001</v>
      </c>
      <c r="H5" s="3">
        <v>3.93333333333333</v>
      </c>
      <c r="I5" s="3">
        <v>4.1333333333333302</v>
      </c>
      <c r="J5" s="3">
        <v>2.0499999999999998</v>
      </c>
      <c r="K5" s="3">
        <v>4.3600000000000003</v>
      </c>
      <c r="L5" s="3">
        <v>3.3125</v>
      </c>
      <c r="M5" s="3">
        <v>4.1444444444444404</v>
      </c>
      <c r="N5" s="3">
        <v>3.6111111111111098</v>
      </c>
      <c r="O5" s="3">
        <v>2.25</v>
      </c>
      <c r="P5" s="3">
        <v>4.12</v>
      </c>
      <c r="Q5" s="3">
        <v>3.15</v>
      </c>
      <c r="R5" s="3">
        <v>4.1666666666666599</v>
      </c>
      <c r="S5" s="3">
        <v>3.4</v>
      </c>
      <c r="T5" s="3">
        <v>2</v>
      </c>
      <c r="U5" s="3">
        <v>3.6</v>
      </c>
      <c r="V5" s="3">
        <v>3.75</v>
      </c>
      <c r="W5" s="3">
        <v>3.8555555555555601</v>
      </c>
      <c r="X5" s="3">
        <v>3.68888888888889</v>
      </c>
      <c r="Y5" s="3">
        <v>1.9125000000000001</v>
      </c>
      <c r="Z5" s="3">
        <v>4.33</v>
      </c>
      <c r="AA5" s="3">
        <v>3.6124999999999998</v>
      </c>
      <c r="AB5" s="3">
        <v>3.37777777777778</v>
      </c>
      <c r="AC5" s="3">
        <v>3.2555555555555502</v>
      </c>
      <c r="AD5" s="3">
        <v>2.9624999999999999</v>
      </c>
      <c r="AE5" s="3">
        <v>4.8</v>
      </c>
    </row>
    <row r="6" spans="1:33" x14ac:dyDescent="0.2">
      <c r="A6" s="3">
        <v>11525</v>
      </c>
      <c r="B6" s="3">
        <v>3.13</v>
      </c>
      <c r="C6" s="3">
        <v>4.67</v>
      </c>
      <c r="D6" s="3">
        <v>5</v>
      </c>
      <c r="E6" s="3">
        <v>1.5</v>
      </c>
      <c r="F6" s="3">
        <v>4.2</v>
      </c>
      <c r="G6" s="3">
        <v>3.875</v>
      </c>
      <c r="H6" s="3">
        <v>4.8666666666666698</v>
      </c>
      <c r="I6" s="3">
        <v>2.7333333333333298</v>
      </c>
      <c r="J6" s="3">
        <v>1.425</v>
      </c>
      <c r="K6" s="3">
        <v>2.72</v>
      </c>
      <c r="L6" s="3">
        <v>3.85</v>
      </c>
      <c r="M6" s="3">
        <v>4.5555555555555598</v>
      </c>
      <c r="N6" s="3">
        <v>2.4222222222222198</v>
      </c>
      <c r="O6" s="3">
        <v>1.5375000000000001</v>
      </c>
      <c r="P6" s="3">
        <v>2.89</v>
      </c>
      <c r="Q6" s="3">
        <v>2.1124999999999998</v>
      </c>
      <c r="R6" s="3">
        <v>3.2111111111111099</v>
      </c>
      <c r="S6" s="3">
        <v>2.2777777777777799</v>
      </c>
      <c r="T6" s="3">
        <v>1.925</v>
      </c>
      <c r="U6" s="3">
        <v>2.0299999999999998</v>
      </c>
      <c r="V6" s="3">
        <v>4.3</v>
      </c>
      <c r="W6" s="3">
        <v>4.7333333333333298</v>
      </c>
      <c r="X6" s="3">
        <v>2.8222222222222202</v>
      </c>
      <c r="Y6" s="3">
        <v>1.5375000000000001</v>
      </c>
      <c r="Z6" s="3">
        <v>2.86</v>
      </c>
      <c r="AA6" s="3">
        <v>4.5750000000000002</v>
      </c>
      <c r="AB6" s="3">
        <v>4.0222222222222204</v>
      </c>
      <c r="AC6" s="3">
        <v>2.1444444444444399</v>
      </c>
      <c r="AD6" s="3">
        <v>1.875</v>
      </c>
      <c r="AE6" s="3">
        <v>3</v>
      </c>
    </row>
    <row r="7" spans="1:33" x14ac:dyDescent="0.2">
      <c r="A7" s="3">
        <v>11542</v>
      </c>
      <c r="B7" s="3">
        <v>1.5</v>
      </c>
      <c r="C7" s="3">
        <v>3.11</v>
      </c>
      <c r="D7" s="3">
        <v>1.67</v>
      </c>
      <c r="E7" s="3">
        <v>4.13</v>
      </c>
      <c r="F7" s="3">
        <v>3.7</v>
      </c>
      <c r="G7" s="3">
        <v>2.4624999999999999</v>
      </c>
      <c r="H7" s="3">
        <v>3.7333333333333401</v>
      </c>
      <c r="I7" s="3">
        <v>3.7777777777777799</v>
      </c>
      <c r="J7" s="3">
        <v>1.7</v>
      </c>
      <c r="K7" s="3">
        <v>3.58</v>
      </c>
      <c r="L7" s="3">
        <v>2.4500000000000002</v>
      </c>
      <c r="M7" s="3">
        <v>3.9888888888888898</v>
      </c>
      <c r="N7" s="3">
        <v>3.1111111111111098</v>
      </c>
      <c r="O7" s="3">
        <v>1.7</v>
      </c>
      <c r="P7" s="3">
        <v>2.9</v>
      </c>
      <c r="Q7" s="3">
        <v>3.0874999999999999</v>
      </c>
      <c r="R7" s="3">
        <v>4.36666666666666</v>
      </c>
      <c r="S7" s="3">
        <v>3.1</v>
      </c>
      <c r="T7" s="3">
        <v>1.875</v>
      </c>
      <c r="U7" s="3">
        <v>2.37</v>
      </c>
      <c r="V7" s="3">
        <v>2.7124999999999999</v>
      </c>
      <c r="W7" s="3">
        <v>3.81111111111111</v>
      </c>
      <c r="X7" s="3">
        <v>3.5888888888888899</v>
      </c>
      <c r="Y7" s="3">
        <v>1.875</v>
      </c>
      <c r="Z7" s="3">
        <v>3.57</v>
      </c>
      <c r="AA7" s="3">
        <v>3.875</v>
      </c>
      <c r="AB7" s="3">
        <v>3.7777777777777799</v>
      </c>
      <c r="AC7" s="3">
        <v>3.06666666666667</v>
      </c>
      <c r="AD7" s="3">
        <v>1.875</v>
      </c>
      <c r="AE7" s="3">
        <v>3.17</v>
      </c>
    </row>
    <row r="8" spans="1:33" x14ac:dyDescent="0.2">
      <c r="A8" s="3">
        <v>11843</v>
      </c>
      <c r="B8" s="3">
        <v>4</v>
      </c>
      <c r="C8" s="3">
        <v>5</v>
      </c>
      <c r="D8" s="3">
        <v>4.78</v>
      </c>
      <c r="E8" s="3">
        <v>2</v>
      </c>
      <c r="F8" s="3">
        <v>4.5999999999999996</v>
      </c>
      <c r="G8" s="3">
        <v>2.95</v>
      </c>
      <c r="H8" s="3">
        <v>4.0111111111111102</v>
      </c>
      <c r="I8" s="3">
        <v>2.1444444444444399</v>
      </c>
      <c r="J8" s="3">
        <v>1.7</v>
      </c>
      <c r="K8" s="3">
        <v>3.2</v>
      </c>
      <c r="L8" s="3">
        <v>2.4249999999999998</v>
      </c>
      <c r="M8" s="3">
        <v>4.31111111111111</v>
      </c>
      <c r="N8" s="3">
        <v>2.4</v>
      </c>
      <c r="O8" s="3">
        <v>1.6875</v>
      </c>
      <c r="P8" s="3">
        <v>2.73</v>
      </c>
      <c r="Q8" s="3">
        <v>2.6</v>
      </c>
      <c r="R8" s="3">
        <v>3.9888888888888898</v>
      </c>
      <c r="S8" s="3">
        <v>2.1</v>
      </c>
      <c r="T8" s="3">
        <v>1.95</v>
      </c>
      <c r="U8" s="3">
        <v>3.04</v>
      </c>
      <c r="V8" s="3">
        <v>3.875</v>
      </c>
      <c r="W8" s="3">
        <v>3.9666666666666699</v>
      </c>
      <c r="X8" s="3">
        <v>1.94444444444444</v>
      </c>
      <c r="Y8" s="3">
        <v>1.65</v>
      </c>
      <c r="Z8" s="3">
        <v>3.55</v>
      </c>
      <c r="AA8" s="3">
        <v>3.8</v>
      </c>
      <c r="AB8" s="3">
        <v>3.1666666666666701</v>
      </c>
      <c r="AC8" s="3">
        <v>1.7777777777777799</v>
      </c>
      <c r="AD8" s="3">
        <v>2.75</v>
      </c>
      <c r="AE8" s="3">
        <v>2.79</v>
      </c>
    </row>
    <row r="9" spans="1:33" x14ac:dyDescent="0.2">
      <c r="A9" s="3">
        <v>12130</v>
      </c>
      <c r="B9" s="3">
        <v>1.75</v>
      </c>
      <c r="C9" s="3">
        <v>3.44</v>
      </c>
      <c r="D9" s="3">
        <v>4.1100000000000003</v>
      </c>
      <c r="E9" s="3">
        <v>3.88</v>
      </c>
      <c r="F9" s="3">
        <v>4</v>
      </c>
      <c r="G9" s="3">
        <v>1.95</v>
      </c>
      <c r="H9" s="3">
        <v>3.9888888888888898</v>
      </c>
      <c r="I9" s="3">
        <v>3.44444444444445</v>
      </c>
      <c r="J9" s="3">
        <v>2.8624999999999998</v>
      </c>
      <c r="K9" s="3">
        <v>3.15</v>
      </c>
      <c r="L9" s="3">
        <v>2.1875</v>
      </c>
      <c r="M9" s="3">
        <v>3.93333333333333</v>
      </c>
      <c r="N9" s="3">
        <v>3.8</v>
      </c>
      <c r="O9" s="3">
        <v>2.0125000000000002</v>
      </c>
      <c r="P9" s="3">
        <v>3.09</v>
      </c>
      <c r="Q9" s="3">
        <v>2.7124999999999999</v>
      </c>
      <c r="R9" s="3">
        <v>4.5111111111111102</v>
      </c>
      <c r="S9" s="3">
        <v>3.4666666666666699</v>
      </c>
      <c r="T9" s="3">
        <v>2.15</v>
      </c>
      <c r="U9" s="3">
        <v>3.45</v>
      </c>
      <c r="V9" s="3">
        <v>1.9875</v>
      </c>
      <c r="W9" s="3">
        <v>3.7888888888888901</v>
      </c>
      <c r="X9" s="3">
        <v>3.1666666666666701</v>
      </c>
      <c r="Y9" s="3">
        <v>2.8</v>
      </c>
      <c r="Z9" s="3">
        <v>3.14</v>
      </c>
      <c r="AA9" s="3">
        <v>2.7250000000000001</v>
      </c>
      <c r="AB9" s="3">
        <v>4.2333333333333298</v>
      </c>
      <c r="AC9" s="3">
        <v>3.4555555555555602</v>
      </c>
      <c r="AD9" s="3">
        <v>2.125</v>
      </c>
      <c r="AE9" s="3">
        <v>3.38</v>
      </c>
    </row>
    <row r="10" spans="1:33" x14ac:dyDescent="0.2">
      <c r="A10" s="3">
        <v>12244</v>
      </c>
      <c r="B10" s="3">
        <v>5</v>
      </c>
      <c r="C10" s="3">
        <v>4.67</v>
      </c>
      <c r="D10" s="3">
        <v>3.22</v>
      </c>
      <c r="E10" s="3">
        <v>2</v>
      </c>
      <c r="F10" s="3">
        <v>4.7</v>
      </c>
      <c r="G10" s="3">
        <v>4.6500000000000004</v>
      </c>
      <c r="H10" s="3">
        <v>3.44444444444445</v>
      </c>
      <c r="I10" s="3">
        <v>2.8444444444444499</v>
      </c>
      <c r="J10" s="3">
        <v>1.1625000000000001</v>
      </c>
      <c r="K10" s="3">
        <v>5</v>
      </c>
      <c r="L10" s="3">
        <v>4.8250000000000002</v>
      </c>
      <c r="M10" s="3">
        <v>3.4</v>
      </c>
      <c r="N10" s="3">
        <v>3.2</v>
      </c>
      <c r="O10" s="3">
        <v>1.075</v>
      </c>
      <c r="P10" s="3">
        <v>4.9800000000000004</v>
      </c>
      <c r="Q10" s="3">
        <v>4.55</v>
      </c>
      <c r="R10" s="3">
        <v>4.1444444444444404</v>
      </c>
      <c r="S10" s="3">
        <v>2.6111111111111098</v>
      </c>
      <c r="T10" s="3">
        <v>1.075</v>
      </c>
      <c r="U10" s="3">
        <v>4.8</v>
      </c>
      <c r="V10" s="3">
        <v>4.8875000000000002</v>
      </c>
      <c r="W10" s="3">
        <v>3.7777777777777799</v>
      </c>
      <c r="X10" s="3">
        <v>2.6555555555555599</v>
      </c>
      <c r="Y10" s="3">
        <v>1.325</v>
      </c>
      <c r="Z10" s="3">
        <v>4.99</v>
      </c>
      <c r="AA10" s="3">
        <v>3.7625000000000002</v>
      </c>
      <c r="AB10" s="3">
        <v>4.3333333333333304</v>
      </c>
      <c r="AC10" s="3">
        <v>3.6666666666666701</v>
      </c>
      <c r="AD10" s="3">
        <v>1.875</v>
      </c>
      <c r="AE10" s="3">
        <v>4.8600000000000003</v>
      </c>
    </row>
    <row r="11" spans="1:33" x14ac:dyDescent="0.2">
      <c r="A11" s="3">
        <v>12247</v>
      </c>
      <c r="B11" s="3">
        <v>2.75</v>
      </c>
      <c r="C11" s="3">
        <v>4</v>
      </c>
      <c r="D11" s="3">
        <v>2.44</v>
      </c>
      <c r="E11" s="3">
        <v>4</v>
      </c>
      <c r="F11" s="3">
        <v>3.6</v>
      </c>
      <c r="G11" s="3">
        <v>3.0375000000000001</v>
      </c>
      <c r="H11" s="3">
        <v>2.9888888888888898</v>
      </c>
      <c r="I11" s="3">
        <v>2.2111111111111099</v>
      </c>
      <c r="J11" s="3">
        <v>5</v>
      </c>
      <c r="K11" s="3">
        <v>2.92</v>
      </c>
      <c r="L11" s="3">
        <v>3.0375000000000001</v>
      </c>
      <c r="M11" s="3">
        <v>2.9222222222222198</v>
      </c>
      <c r="N11" s="3">
        <v>2.05555555555555</v>
      </c>
      <c r="O11" s="3">
        <v>4.9874999999999998</v>
      </c>
      <c r="P11" s="3">
        <v>2.65</v>
      </c>
      <c r="Q11" s="3">
        <v>2.8624999999999998</v>
      </c>
      <c r="R11" s="3">
        <v>3.37777777777778</v>
      </c>
      <c r="S11" s="3">
        <v>2.0333333333333301</v>
      </c>
      <c r="T11" s="3">
        <v>5</v>
      </c>
      <c r="U11" s="3">
        <v>2.23</v>
      </c>
      <c r="V11" s="3">
        <v>3.2250000000000001</v>
      </c>
      <c r="W11" s="3">
        <v>2.9888888888888898</v>
      </c>
      <c r="X11" s="3">
        <v>2.0777777777777802</v>
      </c>
      <c r="Y11" s="3">
        <v>5</v>
      </c>
      <c r="Z11" s="3">
        <v>3.07</v>
      </c>
      <c r="AA11" s="3">
        <v>2.5249999999999999</v>
      </c>
      <c r="AB11" s="3">
        <v>2.6444444444444501</v>
      </c>
      <c r="AC11" s="3">
        <v>2.3222222222222202</v>
      </c>
      <c r="AD11" s="3">
        <v>5</v>
      </c>
      <c r="AE11" s="3">
        <v>2.04</v>
      </c>
    </row>
    <row r="12" spans="1:33" x14ac:dyDescent="0.2">
      <c r="A12" s="3">
        <v>13267</v>
      </c>
      <c r="B12" s="3">
        <v>3.25</v>
      </c>
      <c r="C12" s="3">
        <v>4.5599999999999996</v>
      </c>
      <c r="D12" s="3">
        <v>4.4400000000000004</v>
      </c>
      <c r="E12" s="3">
        <v>2.75</v>
      </c>
      <c r="F12" s="3">
        <v>4.9000000000000004</v>
      </c>
      <c r="G12" s="3">
        <v>4.5</v>
      </c>
      <c r="H12" s="3">
        <v>3.9</v>
      </c>
      <c r="I12" s="3">
        <v>3.7</v>
      </c>
      <c r="J12" s="3">
        <v>2.375</v>
      </c>
      <c r="K12" s="3">
        <v>4.1500000000000004</v>
      </c>
      <c r="L12" s="3">
        <v>3.875</v>
      </c>
      <c r="M12" s="3">
        <v>3.6222222222222298</v>
      </c>
      <c r="N12" s="3">
        <v>3.2777777777777799</v>
      </c>
      <c r="O12" s="3">
        <v>2.5874999999999999</v>
      </c>
      <c r="P12" s="3">
        <v>3.94</v>
      </c>
      <c r="Q12" s="3">
        <v>2.3250000000000002</v>
      </c>
      <c r="R12" s="3">
        <v>3.36666666666666</v>
      </c>
      <c r="S12" s="3">
        <v>3.81111111111111</v>
      </c>
      <c r="T12" s="3">
        <v>2.9249999999999998</v>
      </c>
      <c r="U12" s="3">
        <v>3.19</v>
      </c>
      <c r="V12" s="3">
        <v>4.625</v>
      </c>
      <c r="W12" s="3">
        <v>3.9888888888888898</v>
      </c>
      <c r="X12" s="3">
        <v>3.2</v>
      </c>
      <c r="Y12" s="3">
        <v>2.8374999999999999</v>
      </c>
      <c r="Z12" s="3">
        <v>4.09</v>
      </c>
      <c r="AA12" s="3">
        <v>4.3250000000000002</v>
      </c>
      <c r="AB12" s="3">
        <v>3.3888888888888902</v>
      </c>
      <c r="AC12" s="3">
        <v>3.0888888888888899</v>
      </c>
      <c r="AD12" s="3">
        <v>3.7250000000000001</v>
      </c>
      <c r="AE12" s="3">
        <v>3.8</v>
      </c>
    </row>
    <row r="13" spans="1:33" x14ac:dyDescent="0.2">
      <c r="A13" s="3">
        <v>14347</v>
      </c>
      <c r="B13" s="3">
        <v>3.38</v>
      </c>
      <c r="C13" s="3">
        <v>5</v>
      </c>
      <c r="D13" s="3">
        <v>5</v>
      </c>
      <c r="E13" s="3">
        <v>1</v>
      </c>
      <c r="F13" s="3">
        <v>4.2</v>
      </c>
      <c r="G13" s="3">
        <v>4.8125</v>
      </c>
      <c r="H13" s="3">
        <v>3.5111111111111102</v>
      </c>
      <c r="I13" s="3">
        <v>3.1111111111111098</v>
      </c>
      <c r="J13" s="3">
        <v>1.75</v>
      </c>
      <c r="K13" s="3">
        <v>3.25</v>
      </c>
      <c r="L13" s="3">
        <v>4.8250000000000002</v>
      </c>
      <c r="M13" s="3">
        <v>3.8</v>
      </c>
      <c r="N13" s="3">
        <v>2.0222222222222199</v>
      </c>
      <c r="O13" s="3">
        <v>1.1125</v>
      </c>
      <c r="P13" s="3">
        <v>2.8</v>
      </c>
      <c r="Q13" s="3">
        <v>4.5374999999999996</v>
      </c>
      <c r="R13" s="3">
        <v>3.1666666666666599</v>
      </c>
      <c r="S13" s="3">
        <v>2.1111111111111098</v>
      </c>
      <c r="T13" s="3">
        <v>1.7124999999999999</v>
      </c>
      <c r="U13" s="3">
        <v>2.31</v>
      </c>
      <c r="V13" s="3">
        <v>4.9124999999999996</v>
      </c>
      <c r="W13" s="3">
        <v>3.3444444444444401</v>
      </c>
      <c r="X13" s="3">
        <v>2.3444444444444401</v>
      </c>
      <c r="Y13" s="3">
        <v>1.9</v>
      </c>
      <c r="Z13" s="3">
        <v>2.58</v>
      </c>
      <c r="AA13" s="3">
        <v>4.8499999999999996</v>
      </c>
      <c r="AB13" s="3">
        <v>3.5333333333333301</v>
      </c>
      <c r="AC13" s="3">
        <v>2.5</v>
      </c>
      <c r="AD13" s="3">
        <v>1.9125000000000001</v>
      </c>
      <c r="AE13" s="3">
        <v>3.07</v>
      </c>
    </row>
    <row r="14" spans="1:33" x14ac:dyDescent="0.2">
      <c r="A14" s="3">
        <v>14820</v>
      </c>
      <c r="B14" s="3">
        <v>4.63</v>
      </c>
      <c r="C14" s="3">
        <v>4.22</v>
      </c>
      <c r="D14" s="3">
        <v>4.8899999999999997</v>
      </c>
      <c r="E14" s="3">
        <v>3</v>
      </c>
      <c r="F14" s="3">
        <v>4.5999999999999996</v>
      </c>
      <c r="G14" s="3">
        <v>2.15</v>
      </c>
      <c r="H14" s="3">
        <v>3.9777777777777801</v>
      </c>
      <c r="I14" s="3">
        <v>4</v>
      </c>
      <c r="J14" s="3">
        <v>1.4</v>
      </c>
      <c r="K14" s="3">
        <v>3.24</v>
      </c>
      <c r="L14" s="3">
        <v>2.1875</v>
      </c>
      <c r="M14" s="3">
        <v>3.87777777777778</v>
      </c>
      <c r="N14" s="3">
        <v>3.9222222222222198</v>
      </c>
      <c r="O14" s="3">
        <v>1.9125000000000001</v>
      </c>
      <c r="P14" s="3">
        <v>2.86</v>
      </c>
      <c r="Q14" s="3">
        <v>2.2999999999999998</v>
      </c>
      <c r="R14" s="3">
        <v>4.1777777777777798</v>
      </c>
      <c r="S14" s="3">
        <v>3.3</v>
      </c>
      <c r="T14" s="3">
        <v>2</v>
      </c>
      <c r="U14" s="3">
        <v>3.02</v>
      </c>
      <c r="V14" s="3">
        <v>2.35</v>
      </c>
      <c r="W14" s="3">
        <v>4.1555555555555497</v>
      </c>
      <c r="X14" s="3">
        <v>3.31111111111111</v>
      </c>
      <c r="Y14" s="3">
        <v>1.85</v>
      </c>
      <c r="Z14" s="3">
        <v>3.23</v>
      </c>
      <c r="AA14" s="3">
        <v>3.0125000000000002</v>
      </c>
      <c r="AB14" s="3">
        <v>4.2888888888888896</v>
      </c>
      <c r="AC14" s="3">
        <v>3.1444444444444399</v>
      </c>
      <c r="AD14" s="3">
        <v>1.875</v>
      </c>
      <c r="AE14" s="3">
        <v>3.54</v>
      </c>
    </row>
    <row r="15" spans="1:33" x14ac:dyDescent="0.2">
      <c r="A15" s="3">
        <v>16267</v>
      </c>
      <c r="B15" s="3">
        <v>1.25</v>
      </c>
      <c r="C15" s="3">
        <v>3.11</v>
      </c>
      <c r="D15" s="3">
        <v>3.78</v>
      </c>
      <c r="E15" s="3">
        <v>2.13</v>
      </c>
      <c r="F15" s="3">
        <v>3.1</v>
      </c>
      <c r="G15" s="3">
        <v>2.4</v>
      </c>
      <c r="H15" s="3">
        <v>3.05555555555555</v>
      </c>
      <c r="I15" s="3">
        <v>3.81111111111111</v>
      </c>
      <c r="J15" s="3">
        <v>2</v>
      </c>
      <c r="K15" s="3">
        <v>2.14</v>
      </c>
      <c r="L15" s="3">
        <v>2.5750000000000002</v>
      </c>
      <c r="M15" s="3">
        <v>3.0777777777777802</v>
      </c>
      <c r="N15" s="3">
        <v>3.6333333333333302</v>
      </c>
      <c r="O15" s="3">
        <v>2</v>
      </c>
      <c r="P15" s="3">
        <v>2</v>
      </c>
      <c r="Q15" s="3">
        <v>2.1124999999999998</v>
      </c>
      <c r="R15" s="3">
        <v>3.1444444444444399</v>
      </c>
      <c r="S15" s="3">
        <v>3.0111111111111102</v>
      </c>
      <c r="T15" s="3">
        <v>2</v>
      </c>
      <c r="U15" s="3">
        <v>1.94</v>
      </c>
      <c r="V15" s="3">
        <v>3.5</v>
      </c>
      <c r="W15" s="3">
        <v>3.2333333333333298</v>
      </c>
      <c r="X15" s="3">
        <v>3.68888888888889</v>
      </c>
      <c r="Y15" s="3">
        <v>1.9125000000000001</v>
      </c>
      <c r="Z15" s="3">
        <v>2.58</v>
      </c>
      <c r="AA15" s="3">
        <v>3.6124999999999998</v>
      </c>
      <c r="AB15" s="3">
        <v>2.9</v>
      </c>
      <c r="AC15" s="3">
        <v>2.9777777777777801</v>
      </c>
      <c r="AD15" s="3">
        <v>1.9</v>
      </c>
      <c r="AE15" s="3">
        <v>2.5099999999999998</v>
      </c>
    </row>
    <row r="16" spans="1:33" x14ac:dyDescent="0.2">
      <c r="A16" s="3">
        <v>16483</v>
      </c>
      <c r="B16" s="3">
        <v>2.63</v>
      </c>
      <c r="C16" s="3">
        <v>3.67</v>
      </c>
      <c r="D16" s="3">
        <v>3.33</v>
      </c>
      <c r="E16" s="3">
        <v>3.25</v>
      </c>
      <c r="F16" s="3">
        <v>3.4</v>
      </c>
      <c r="G16" s="3">
        <v>2.3250000000000002</v>
      </c>
      <c r="H16" s="3">
        <v>3.4888888888888898</v>
      </c>
      <c r="I16" s="3">
        <v>3.1</v>
      </c>
      <c r="J16" s="3">
        <v>2.2000000000000002</v>
      </c>
      <c r="K16" s="3">
        <v>3.16</v>
      </c>
      <c r="L16" s="3">
        <v>2.1375000000000002</v>
      </c>
      <c r="M16" s="3">
        <v>3.3222222222222202</v>
      </c>
      <c r="N16" s="3">
        <v>3.0777777777777802</v>
      </c>
      <c r="O16" s="3">
        <v>2.9375</v>
      </c>
      <c r="P16" s="3">
        <v>3.31</v>
      </c>
      <c r="Q16" s="3">
        <v>2.8374999999999999</v>
      </c>
      <c r="R16" s="3">
        <v>3.3888888888888902</v>
      </c>
      <c r="S16" s="3">
        <v>2.8888888888888902</v>
      </c>
      <c r="T16" s="3">
        <v>2.0125000000000002</v>
      </c>
      <c r="U16" s="3">
        <v>3.01</v>
      </c>
      <c r="V16" s="3">
        <v>2.7749999999999999</v>
      </c>
      <c r="W16" s="3">
        <v>3.5555555555555598</v>
      </c>
      <c r="X16" s="3">
        <v>2.7333333333333298</v>
      </c>
      <c r="Y16" s="3">
        <v>2.6375000000000002</v>
      </c>
      <c r="Z16" s="3">
        <v>3.08</v>
      </c>
      <c r="AA16" s="3">
        <v>3.3624999999999998</v>
      </c>
      <c r="AB16" s="3">
        <v>3.2</v>
      </c>
      <c r="AC16" s="3">
        <v>2.7333333333333298</v>
      </c>
      <c r="AD16" s="3">
        <v>2.8374999999999999</v>
      </c>
      <c r="AE16" s="3">
        <v>3.38</v>
      </c>
    </row>
    <row r="17" spans="1:31" x14ac:dyDescent="0.2">
      <c r="A17" s="3">
        <v>16588</v>
      </c>
      <c r="B17" s="3">
        <v>2.38</v>
      </c>
      <c r="C17" s="3">
        <v>3.78</v>
      </c>
      <c r="D17" s="3">
        <v>4.5599999999999996</v>
      </c>
      <c r="E17" s="3">
        <v>3.38</v>
      </c>
      <c r="F17" s="3">
        <v>4.5</v>
      </c>
      <c r="G17" s="3">
        <v>3.05</v>
      </c>
      <c r="H17" s="3">
        <v>3.8666666666666698</v>
      </c>
      <c r="I17" s="3">
        <v>4.0555555555555598</v>
      </c>
      <c r="J17" s="3">
        <v>2.6124999999999998</v>
      </c>
      <c r="K17" s="3">
        <v>4.3499999999999996</v>
      </c>
      <c r="L17" s="3">
        <v>3.0125000000000002</v>
      </c>
      <c r="M17" s="3">
        <v>4.0222222222222204</v>
      </c>
      <c r="N17" s="3">
        <v>3.2111111111111099</v>
      </c>
      <c r="O17" s="3">
        <v>3.0249999999999999</v>
      </c>
      <c r="P17" s="3">
        <v>3.48</v>
      </c>
      <c r="Q17" s="3">
        <v>2.0249999999999999</v>
      </c>
      <c r="R17" s="3">
        <v>3.8444444444444499</v>
      </c>
      <c r="S17" s="3">
        <v>2.56666666666667</v>
      </c>
      <c r="T17" s="3">
        <v>3.3624999999999998</v>
      </c>
      <c r="U17" s="3">
        <v>2.94</v>
      </c>
      <c r="V17" s="3">
        <v>3.1</v>
      </c>
      <c r="W17" s="3">
        <v>3.8222222222222202</v>
      </c>
      <c r="X17" s="3">
        <v>3.8333333333333299</v>
      </c>
      <c r="Y17" s="3">
        <v>2.875</v>
      </c>
      <c r="Z17" s="3">
        <v>4.3099999999999996</v>
      </c>
      <c r="AA17" s="3">
        <v>3.5125000000000002</v>
      </c>
      <c r="AB17" s="3">
        <v>4.37777777777778</v>
      </c>
      <c r="AC17" s="3">
        <v>3.8</v>
      </c>
      <c r="AD17" s="3">
        <v>2.9624999999999999</v>
      </c>
      <c r="AE17" s="3">
        <v>4.29</v>
      </c>
    </row>
    <row r="18" spans="1:31" x14ac:dyDescent="0.2">
      <c r="A18" s="3">
        <v>16708</v>
      </c>
      <c r="B18" s="3">
        <v>1.88</v>
      </c>
      <c r="C18" s="3">
        <v>3.67</v>
      </c>
      <c r="D18" s="3">
        <v>3.11</v>
      </c>
      <c r="E18" s="3">
        <v>4.38</v>
      </c>
      <c r="F18" s="3">
        <v>3.1</v>
      </c>
      <c r="G18" s="3">
        <v>2.5750000000000002</v>
      </c>
      <c r="H18" s="3">
        <v>4.3777777777777702</v>
      </c>
      <c r="I18" s="3">
        <v>2.7777777777777799</v>
      </c>
      <c r="J18" s="3">
        <v>3.3</v>
      </c>
      <c r="K18" s="3">
        <v>3.1</v>
      </c>
      <c r="L18" s="3">
        <v>2.9624999999999999</v>
      </c>
      <c r="M18" s="3">
        <v>4.2333333333333298</v>
      </c>
      <c r="N18" s="3">
        <v>3.05555555555555</v>
      </c>
      <c r="O18" s="3">
        <v>1.8875</v>
      </c>
      <c r="P18" s="3">
        <v>3.09</v>
      </c>
      <c r="Q18" s="3">
        <v>2.5625</v>
      </c>
      <c r="R18" s="3">
        <v>4.0888888888888903</v>
      </c>
      <c r="S18" s="3">
        <v>2.8666666666666698</v>
      </c>
      <c r="T18" s="3">
        <v>1.8875</v>
      </c>
      <c r="U18" s="3">
        <v>2.99</v>
      </c>
      <c r="V18" s="3">
        <v>2.8624999999999998</v>
      </c>
      <c r="W18" s="3">
        <v>4.4444444444444402</v>
      </c>
      <c r="X18" s="3">
        <v>2.6555555555555501</v>
      </c>
      <c r="Y18" s="3">
        <v>3.3250000000000002</v>
      </c>
      <c r="Z18" s="3">
        <v>3.18</v>
      </c>
      <c r="AA18" s="3">
        <v>3.55</v>
      </c>
      <c r="AB18" s="3">
        <v>4.4000000000000004</v>
      </c>
      <c r="AC18" s="3">
        <v>3.0222222222222199</v>
      </c>
      <c r="AD18" s="3">
        <v>3.05</v>
      </c>
      <c r="AE18" s="3">
        <v>3.04</v>
      </c>
    </row>
    <row r="19" spans="1:31" x14ac:dyDescent="0.2">
      <c r="A19" s="3">
        <v>17638</v>
      </c>
      <c r="B19" s="3">
        <v>3.75</v>
      </c>
      <c r="C19" s="3">
        <v>4.22</v>
      </c>
      <c r="D19" s="3">
        <v>3.78</v>
      </c>
      <c r="E19" s="3">
        <v>3.38</v>
      </c>
      <c r="F19" s="3">
        <v>3.4</v>
      </c>
      <c r="G19" s="3">
        <v>2.5750000000000002</v>
      </c>
      <c r="H19" s="3">
        <v>4.4444444444444402</v>
      </c>
      <c r="I19" s="3">
        <v>2.6111111111111098</v>
      </c>
      <c r="J19" s="3">
        <v>2.875</v>
      </c>
      <c r="K19" s="3">
        <v>2.52</v>
      </c>
      <c r="L19" s="3">
        <v>2.1</v>
      </c>
      <c r="M19" s="3">
        <v>4.2666666666666604</v>
      </c>
      <c r="N19" s="3">
        <v>2.8555555555555601</v>
      </c>
      <c r="O19" s="3">
        <v>2.875</v>
      </c>
      <c r="P19" s="3">
        <v>2.2799999999999998</v>
      </c>
      <c r="Q19" s="3">
        <v>2.4624999999999999</v>
      </c>
      <c r="R19" s="3">
        <v>3.9111111111111101</v>
      </c>
      <c r="S19" s="3">
        <v>2.3888888888888902</v>
      </c>
      <c r="T19" s="3">
        <v>1.9624999999999999</v>
      </c>
      <c r="U19" s="3">
        <v>1.91</v>
      </c>
      <c r="V19" s="3">
        <v>2.8875000000000002</v>
      </c>
      <c r="W19" s="3">
        <v>4.4888888888888898</v>
      </c>
      <c r="X19" s="3">
        <v>2.37777777777778</v>
      </c>
      <c r="Y19" s="3">
        <v>2.3875000000000002</v>
      </c>
      <c r="Z19" s="3">
        <v>2.89</v>
      </c>
      <c r="AA19" s="3">
        <v>3.4</v>
      </c>
      <c r="AB19" s="3">
        <v>3.8666666666666698</v>
      </c>
      <c r="AC19" s="3">
        <v>2.43333333333333</v>
      </c>
      <c r="AD19" s="3">
        <v>2.0750000000000002</v>
      </c>
      <c r="AE19" s="3">
        <v>2.58</v>
      </c>
    </row>
    <row r="20" spans="1:31" x14ac:dyDescent="0.2">
      <c r="A20" s="3">
        <v>18656</v>
      </c>
      <c r="B20" s="3">
        <v>4.38</v>
      </c>
      <c r="C20" s="3">
        <v>4.4400000000000004</v>
      </c>
      <c r="D20" s="3">
        <v>4.67</v>
      </c>
      <c r="E20" s="3">
        <v>1.5</v>
      </c>
      <c r="F20" s="3">
        <v>4.4000000000000004</v>
      </c>
      <c r="G20" s="3">
        <v>3.4750000000000001</v>
      </c>
      <c r="H20" s="3">
        <v>4.2555555555555502</v>
      </c>
      <c r="I20" s="3">
        <v>4.1111111111111098</v>
      </c>
      <c r="J20" s="3">
        <v>1.7375</v>
      </c>
      <c r="K20" s="3">
        <v>3.54</v>
      </c>
      <c r="L20" s="3">
        <v>3.2124999999999999</v>
      </c>
      <c r="M20" s="3">
        <v>4.4444444444444402</v>
      </c>
      <c r="N20" s="3">
        <v>4.0999999999999996</v>
      </c>
      <c r="O20" s="3">
        <v>1.875</v>
      </c>
      <c r="P20" s="3">
        <v>3.56</v>
      </c>
      <c r="Q20" s="3">
        <v>3.1749999999999998</v>
      </c>
      <c r="R20" s="3">
        <v>4.4444444444444402</v>
      </c>
      <c r="S20" s="3">
        <v>3.8888888888888902</v>
      </c>
      <c r="T20" s="3">
        <v>1.8374999999999999</v>
      </c>
      <c r="U20" s="3">
        <v>3.63</v>
      </c>
      <c r="V20" s="3">
        <v>4</v>
      </c>
      <c r="W20" s="3">
        <v>4.2222222222222197</v>
      </c>
      <c r="X20" s="3">
        <v>4.0999999999999996</v>
      </c>
      <c r="Y20" s="3">
        <v>1.925</v>
      </c>
      <c r="Z20" s="3">
        <v>3.74</v>
      </c>
      <c r="AA20" s="3">
        <v>4.4375</v>
      </c>
      <c r="AB20" s="3">
        <v>4.18888888888889</v>
      </c>
      <c r="AC20" s="3">
        <v>4.0999999999999996</v>
      </c>
      <c r="AD20" s="3">
        <v>1.9750000000000001</v>
      </c>
      <c r="AE20" s="3">
        <v>3.98</v>
      </c>
    </row>
    <row r="21" spans="1:31" x14ac:dyDescent="0.2">
      <c r="A21" s="3">
        <v>18773</v>
      </c>
      <c r="B21" s="3">
        <v>4.88</v>
      </c>
      <c r="C21" s="3">
        <v>5</v>
      </c>
      <c r="D21" s="3">
        <v>4.8899999999999997</v>
      </c>
      <c r="E21" s="3">
        <v>1</v>
      </c>
      <c r="F21" s="3">
        <v>4.0999999999999996</v>
      </c>
      <c r="G21" s="3">
        <v>3.875</v>
      </c>
      <c r="H21" s="3">
        <v>3.9888888888888898</v>
      </c>
      <c r="I21" s="3">
        <v>3.8666666666666698</v>
      </c>
      <c r="J21" s="3">
        <v>1.8374999999999999</v>
      </c>
      <c r="K21" s="3">
        <v>3.1</v>
      </c>
      <c r="L21" s="3">
        <v>4</v>
      </c>
      <c r="M21" s="3">
        <v>4.1555555555555497</v>
      </c>
      <c r="N21" s="3">
        <v>4.1333333333333302</v>
      </c>
      <c r="O21" s="3">
        <v>1.875</v>
      </c>
      <c r="P21" s="3">
        <v>3.24</v>
      </c>
      <c r="Q21" s="3">
        <v>3.65</v>
      </c>
      <c r="R21" s="3">
        <v>4.4666666666666597</v>
      </c>
      <c r="S21" s="3">
        <v>3.87777777777778</v>
      </c>
      <c r="T21" s="3">
        <v>2.35</v>
      </c>
      <c r="U21" s="3">
        <v>3.42</v>
      </c>
      <c r="V21" s="3">
        <v>4.3624999999999998</v>
      </c>
      <c r="W21" s="3">
        <v>4.0999999999999996</v>
      </c>
      <c r="X21" s="3">
        <v>3.8888888888888902</v>
      </c>
      <c r="Y21" s="3">
        <v>1.875</v>
      </c>
      <c r="Z21" s="3">
        <v>3.15</v>
      </c>
      <c r="AA21" s="3">
        <v>4.2750000000000004</v>
      </c>
      <c r="AB21" s="3">
        <v>3.9</v>
      </c>
      <c r="AC21" s="3">
        <v>3.1777777777777798</v>
      </c>
      <c r="AD21" s="3">
        <v>2.75</v>
      </c>
      <c r="AE21" s="3">
        <v>3.3</v>
      </c>
    </row>
    <row r="22" spans="1:31" x14ac:dyDescent="0.2">
      <c r="A22" s="3">
        <v>20788</v>
      </c>
      <c r="B22" s="3">
        <v>2.38</v>
      </c>
      <c r="C22" s="3">
        <v>4.8899999999999997</v>
      </c>
      <c r="D22" s="3">
        <v>3.44</v>
      </c>
      <c r="E22" s="3">
        <v>3.88</v>
      </c>
      <c r="F22" s="3">
        <v>4</v>
      </c>
      <c r="G22" s="3">
        <v>3.25</v>
      </c>
      <c r="H22" s="3">
        <v>4.7777777777777803</v>
      </c>
      <c r="I22" s="3">
        <v>4.75555555555556</v>
      </c>
      <c r="J22" s="3">
        <v>2</v>
      </c>
      <c r="K22" s="3">
        <v>2.94</v>
      </c>
      <c r="L22" s="3">
        <v>3.25</v>
      </c>
      <c r="M22" s="3">
        <v>4.75555555555556</v>
      </c>
      <c r="N22" s="3">
        <v>4.4888888888888898</v>
      </c>
      <c r="O22" s="3">
        <v>2.0249999999999999</v>
      </c>
      <c r="P22" s="3">
        <v>2.8</v>
      </c>
      <c r="Q22" s="3">
        <v>2.8</v>
      </c>
      <c r="R22" s="3">
        <v>4.4111111111111097</v>
      </c>
      <c r="S22" s="3">
        <v>4.4000000000000004</v>
      </c>
      <c r="T22" s="3">
        <v>1.8875</v>
      </c>
      <c r="U22" s="3">
        <v>2.29</v>
      </c>
      <c r="V22" s="3">
        <v>4</v>
      </c>
      <c r="W22" s="3">
        <v>4.75555555555556</v>
      </c>
      <c r="X22" s="3">
        <v>4.8666666666666698</v>
      </c>
      <c r="Y22" s="3">
        <v>1.9624999999999999</v>
      </c>
      <c r="Z22" s="3">
        <v>3.15</v>
      </c>
      <c r="AA22" s="3">
        <v>3.625</v>
      </c>
      <c r="AB22" s="3">
        <v>4.12222222222222</v>
      </c>
      <c r="AC22" s="3">
        <v>4.4222222222222198</v>
      </c>
      <c r="AD22" s="3">
        <v>3.625</v>
      </c>
      <c r="AE22" s="3">
        <v>2.94</v>
      </c>
    </row>
    <row r="23" spans="1:31" x14ac:dyDescent="0.2">
      <c r="A23" s="3">
        <v>20811</v>
      </c>
      <c r="B23" s="3">
        <v>3.75</v>
      </c>
      <c r="C23" s="3">
        <v>4.78</v>
      </c>
      <c r="D23" s="3">
        <v>5</v>
      </c>
      <c r="E23" s="3">
        <v>1</v>
      </c>
      <c r="F23" s="3">
        <v>4.8</v>
      </c>
      <c r="G23" s="3">
        <v>2.9874999999999998</v>
      </c>
      <c r="H23" s="3">
        <v>4.12222222222222</v>
      </c>
      <c r="I23" s="3">
        <v>3.0444444444444398</v>
      </c>
      <c r="J23" s="3">
        <v>1.875</v>
      </c>
      <c r="K23" s="3">
        <v>2.57</v>
      </c>
      <c r="L23" s="3">
        <v>2.9375</v>
      </c>
      <c r="M23" s="3">
        <v>3.7666666666666702</v>
      </c>
      <c r="N23" s="3">
        <v>3.0222222222222199</v>
      </c>
      <c r="O23" s="3">
        <v>1.875</v>
      </c>
      <c r="P23" s="3">
        <v>2.4</v>
      </c>
      <c r="Q23" s="3">
        <v>3.2</v>
      </c>
      <c r="R23" s="3">
        <v>4.24444444444444</v>
      </c>
      <c r="S23" s="3">
        <v>2.55555555555555</v>
      </c>
      <c r="T23" s="3">
        <v>1.9375</v>
      </c>
      <c r="U23" s="3">
        <v>2.2200000000000002</v>
      </c>
      <c r="V23" s="3">
        <v>3.2</v>
      </c>
      <c r="W23" s="3">
        <v>3.7</v>
      </c>
      <c r="X23" s="3">
        <v>2.6555555555555501</v>
      </c>
      <c r="Y23" s="3">
        <v>1.875</v>
      </c>
      <c r="Z23" s="3">
        <v>2.37</v>
      </c>
      <c r="AA23" s="3">
        <v>4.2874999999999996</v>
      </c>
      <c r="AB23" s="3">
        <v>4.0444444444444398</v>
      </c>
      <c r="AC23" s="3">
        <v>4.1111111111111098</v>
      </c>
      <c r="AD23" s="3">
        <v>1.925</v>
      </c>
      <c r="AE23" s="3">
        <v>3.07</v>
      </c>
    </row>
    <row r="24" spans="1:31" x14ac:dyDescent="0.2">
      <c r="A24" s="3">
        <v>21151</v>
      </c>
      <c r="B24" s="3">
        <v>2.75</v>
      </c>
      <c r="C24" s="3">
        <v>3.89</v>
      </c>
      <c r="D24" s="3">
        <v>5</v>
      </c>
      <c r="E24" s="3">
        <v>1.38</v>
      </c>
      <c r="F24" s="3">
        <v>4.5999999999999996</v>
      </c>
      <c r="G24" s="3">
        <v>2.6</v>
      </c>
      <c r="H24" s="3">
        <v>2.4555555555555499</v>
      </c>
      <c r="I24" s="3">
        <v>4.8888888888888902</v>
      </c>
      <c r="J24" s="3">
        <v>1.0375000000000001</v>
      </c>
      <c r="K24" s="3">
        <v>3.65</v>
      </c>
      <c r="L24" s="3">
        <v>2.125</v>
      </c>
      <c r="M24" s="3">
        <v>2.4888888888888898</v>
      </c>
      <c r="N24" s="3">
        <v>4.9444444444444402</v>
      </c>
      <c r="O24" s="3">
        <v>1</v>
      </c>
      <c r="P24" s="3">
        <v>3.63</v>
      </c>
      <c r="Q24" s="3">
        <v>2.125</v>
      </c>
      <c r="R24" s="3">
        <v>3.2333333333333298</v>
      </c>
      <c r="S24" s="3">
        <v>4.2555555555555502</v>
      </c>
      <c r="T24" s="3">
        <v>1.2124999999999999</v>
      </c>
      <c r="U24" s="3">
        <v>3.35</v>
      </c>
      <c r="V24" s="3">
        <v>3.25</v>
      </c>
      <c r="W24" s="3">
        <v>2.5111111111111102</v>
      </c>
      <c r="X24" s="3">
        <v>4.4777777777777796</v>
      </c>
      <c r="Y24" s="3">
        <v>1.8625</v>
      </c>
      <c r="Z24" s="3">
        <v>3.79</v>
      </c>
      <c r="AA24" s="3">
        <v>3.8</v>
      </c>
      <c r="AB24" s="3">
        <v>2.5</v>
      </c>
      <c r="AC24" s="3">
        <v>4.1111111111111098</v>
      </c>
      <c r="AD24" s="3">
        <v>1.8875</v>
      </c>
      <c r="AE24" s="3">
        <v>3.77</v>
      </c>
    </row>
    <row r="25" spans="1:31" x14ac:dyDescent="0.2">
      <c r="A25" s="3">
        <v>22533</v>
      </c>
      <c r="B25" s="3">
        <v>4.63</v>
      </c>
      <c r="C25" s="3">
        <v>4.5599999999999996</v>
      </c>
      <c r="D25" s="3">
        <v>4.33</v>
      </c>
      <c r="E25" s="3">
        <v>3.75</v>
      </c>
      <c r="F25" s="3">
        <v>4.9000000000000004</v>
      </c>
      <c r="G25" s="3">
        <v>2.4125000000000001</v>
      </c>
      <c r="H25" s="3">
        <v>4.2888888888888896</v>
      </c>
      <c r="I25" s="3">
        <v>2.2000000000000002</v>
      </c>
      <c r="J25" s="3">
        <v>1.9125000000000001</v>
      </c>
      <c r="K25" s="3">
        <v>2.44</v>
      </c>
      <c r="L25" s="3">
        <v>2.35</v>
      </c>
      <c r="M25" s="3">
        <v>3.6111111111111098</v>
      </c>
      <c r="N25" s="3">
        <v>2.06666666666667</v>
      </c>
      <c r="O25" s="3">
        <v>2</v>
      </c>
      <c r="P25" s="3">
        <v>2.2200000000000002</v>
      </c>
      <c r="Q25" s="3">
        <v>2.125</v>
      </c>
      <c r="R25" s="3">
        <v>3.5444444444444398</v>
      </c>
      <c r="S25" s="3">
        <v>1.9777777777777801</v>
      </c>
      <c r="T25" s="3">
        <v>1.6375</v>
      </c>
      <c r="U25" s="3">
        <v>1.88</v>
      </c>
      <c r="V25" s="3">
        <v>3.0625</v>
      </c>
      <c r="W25" s="3">
        <v>4.2333333333333298</v>
      </c>
      <c r="X25" s="3">
        <v>3.4444444444444402</v>
      </c>
      <c r="Y25" s="3">
        <v>2.0249999999999999</v>
      </c>
      <c r="Z25" s="3">
        <v>2.5499999999999998</v>
      </c>
      <c r="AA25" s="3">
        <v>3.8125</v>
      </c>
      <c r="AB25" s="3">
        <v>4</v>
      </c>
      <c r="AC25" s="3">
        <v>3.1111111111111098</v>
      </c>
      <c r="AD25" s="3">
        <v>2.1124999999999998</v>
      </c>
      <c r="AE25" s="3">
        <v>3.75</v>
      </c>
    </row>
    <row r="26" spans="1:31" x14ac:dyDescent="0.2">
      <c r="A26" s="3">
        <v>22996</v>
      </c>
      <c r="B26" s="3">
        <v>3.75</v>
      </c>
      <c r="C26" s="3">
        <v>4.67</v>
      </c>
      <c r="D26" s="3">
        <v>2.44</v>
      </c>
      <c r="E26" s="3">
        <v>2.25</v>
      </c>
      <c r="F26" s="3">
        <v>3.1</v>
      </c>
      <c r="G26" s="3">
        <v>4.4375</v>
      </c>
      <c r="H26" s="3">
        <v>4.87777777777778</v>
      </c>
      <c r="I26" s="3">
        <v>2.43333333333333</v>
      </c>
      <c r="J26" s="3">
        <v>1.7250000000000001</v>
      </c>
      <c r="K26" s="3">
        <v>3.51</v>
      </c>
      <c r="L26" s="3">
        <v>4.4749999999999996</v>
      </c>
      <c r="M26" s="3">
        <v>4.8222222222222202</v>
      </c>
      <c r="N26" s="3">
        <v>2.4111111111111101</v>
      </c>
      <c r="O26" s="3">
        <v>1.75</v>
      </c>
      <c r="P26" s="3">
        <v>3.47</v>
      </c>
      <c r="Q26" s="3">
        <v>3.9874999999999998</v>
      </c>
      <c r="R26" s="3">
        <v>4.81111111111111</v>
      </c>
      <c r="S26" s="3">
        <v>2.2222222222222201</v>
      </c>
      <c r="T26" s="3">
        <v>1.45</v>
      </c>
      <c r="U26" s="3">
        <v>2.78</v>
      </c>
      <c r="V26" s="3">
        <v>4.5250000000000004</v>
      </c>
      <c r="W26" s="3">
        <v>4.87777777777778</v>
      </c>
      <c r="X26" s="3">
        <v>2.2666666666666599</v>
      </c>
      <c r="Y26" s="3">
        <v>1.8</v>
      </c>
      <c r="Z26" s="3">
        <v>3.63</v>
      </c>
      <c r="AA26" s="3">
        <v>4.5</v>
      </c>
      <c r="AB26" s="3">
        <v>4.1666666666666696</v>
      </c>
      <c r="AC26" s="3">
        <v>2.2888888888888901</v>
      </c>
      <c r="AD26" s="3">
        <v>2.7250000000000001</v>
      </c>
      <c r="AE26" s="3">
        <v>3.58</v>
      </c>
    </row>
    <row r="27" spans="1:31" x14ac:dyDescent="0.2">
      <c r="A27" s="3">
        <v>23104</v>
      </c>
      <c r="B27" s="3">
        <v>3</v>
      </c>
      <c r="C27" s="3">
        <v>3.78</v>
      </c>
      <c r="D27" s="3">
        <v>3.56</v>
      </c>
      <c r="E27" s="3">
        <v>2.75</v>
      </c>
      <c r="F27" s="3">
        <v>4</v>
      </c>
      <c r="G27" s="3">
        <v>2.9874999999999998</v>
      </c>
      <c r="H27" s="3">
        <v>3.9666666666666699</v>
      </c>
      <c r="I27" s="3">
        <v>3.1666666666666701</v>
      </c>
      <c r="J27" s="3">
        <v>1.3125</v>
      </c>
      <c r="K27" s="3">
        <v>2.6</v>
      </c>
      <c r="L27" s="3">
        <v>2.8250000000000002</v>
      </c>
      <c r="M27" s="3">
        <v>4.3444444444444397</v>
      </c>
      <c r="N27" s="3">
        <v>3.05555555555555</v>
      </c>
      <c r="O27" s="3">
        <v>1.4375</v>
      </c>
      <c r="P27" s="3">
        <v>2.71</v>
      </c>
      <c r="Q27" s="3">
        <v>2.8374999999999999</v>
      </c>
      <c r="R27" s="3">
        <v>4.2333333333333298</v>
      </c>
      <c r="S27" s="3">
        <v>3</v>
      </c>
      <c r="T27" s="3">
        <v>1.8125</v>
      </c>
      <c r="U27" s="3">
        <v>2.15</v>
      </c>
      <c r="V27" s="3">
        <v>3.6375000000000002</v>
      </c>
      <c r="W27" s="3">
        <v>4.1111111111111098</v>
      </c>
      <c r="X27" s="3">
        <v>3.05555555555555</v>
      </c>
      <c r="Y27" s="3">
        <v>1.4125000000000001</v>
      </c>
      <c r="Z27" s="3">
        <v>2.89</v>
      </c>
      <c r="AA27" s="3">
        <v>4.2249999999999996</v>
      </c>
      <c r="AB27" s="3">
        <v>3.8222222222222202</v>
      </c>
      <c r="AC27" s="3">
        <v>2.6111111111111098</v>
      </c>
      <c r="AD27" s="3">
        <v>1.875</v>
      </c>
      <c r="AE27" s="3">
        <v>3.17</v>
      </c>
    </row>
    <row r="28" spans="1:31" x14ac:dyDescent="0.2">
      <c r="A28" s="3">
        <v>23733</v>
      </c>
      <c r="B28" s="3">
        <v>4</v>
      </c>
      <c r="C28" s="3">
        <v>4.78</v>
      </c>
      <c r="D28" s="3">
        <v>5</v>
      </c>
      <c r="E28" s="3">
        <v>1</v>
      </c>
      <c r="F28" s="3">
        <v>4</v>
      </c>
      <c r="G28" s="3">
        <v>3.4</v>
      </c>
      <c r="H28" s="3">
        <v>4.7222222222222197</v>
      </c>
      <c r="I28" s="3">
        <v>4.0333333333333297</v>
      </c>
      <c r="J28" s="3">
        <v>1.35</v>
      </c>
      <c r="K28" s="3">
        <v>4.24</v>
      </c>
      <c r="L28" s="3">
        <v>3.15</v>
      </c>
      <c r="M28" s="3">
        <v>4.8444444444444503</v>
      </c>
      <c r="N28" s="3">
        <v>4</v>
      </c>
      <c r="O28" s="3">
        <v>1.5125</v>
      </c>
      <c r="P28" s="3">
        <v>4</v>
      </c>
      <c r="Q28" s="3">
        <v>2.9249999999999998</v>
      </c>
      <c r="R28" s="3">
        <v>4.3333333333333304</v>
      </c>
      <c r="S28" s="3">
        <v>3.9555555555555602</v>
      </c>
      <c r="T28" s="3">
        <v>1.8374999999999999</v>
      </c>
      <c r="U28" s="3">
        <v>3.89</v>
      </c>
      <c r="V28" s="3">
        <v>4.7249999999999996</v>
      </c>
      <c r="W28" s="3">
        <v>4.8555555555555596</v>
      </c>
      <c r="X28" s="3">
        <v>4.0999999999999996</v>
      </c>
      <c r="Y28" s="3">
        <v>1.1875</v>
      </c>
      <c r="Z28" s="3">
        <v>4.3</v>
      </c>
      <c r="AA28" s="3">
        <v>4.3624999999999998</v>
      </c>
      <c r="AB28" s="3">
        <v>4.3444444444444397</v>
      </c>
      <c r="AC28" s="3">
        <v>3.0222222222222199</v>
      </c>
      <c r="AD28" s="3">
        <v>1.8374999999999999</v>
      </c>
      <c r="AE28" s="3">
        <v>4.22</v>
      </c>
    </row>
    <row r="29" spans="1:31" x14ac:dyDescent="0.2">
      <c r="A29" s="3">
        <v>24032</v>
      </c>
      <c r="B29" s="3">
        <v>2.75</v>
      </c>
      <c r="C29" s="3">
        <v>2.89</v>
      </c>
      <c r="D29" s="3">
        <v>2.33</v>
      </c>
      <c r="E29" s="3">
        <v>4.38</v>
      </c>
      <c r="F29" s="3">
        <v>3.3</v>
      </c>
      <c r="G29" s="3">
        <v>3.7625000000000002</v>
      </c>
      <c r="H29" s="3">
        <v>4.1111111111111098</v>
      </c>
      <c r="I29" s="3">
        <v>4.3555555555555499</v>
      </c>
      <c r="J29" s="3">
        <v>1.9375</v>
      </c>
      <c r="K29" s="3">
        <v>3.14</v>
      </c>
      <c r="L29" s="3">
        <v>3.875</v>
      </c>
      <c r="M29" s="3">
        <v>4.5777777777777802</v>
      </c>
      <c r="N29" s="3">
        <v>4.0999999999999996</v>
      </c>
      <c r="O29" s="3">
        <v>2.0125000000000002</v>
      </c>
      <c r="P29" s="3">
        <v>3.26</v>
      </c>
      <c r="Q29" s="3">
        <v>3.875</v>
      </c>
      <c r="R29" s="3">
        <v>4.5444444444444496</v>
      </c>
      <c r="S29" s="3">
        <v>4.1111111111111098</v>
      </c>
      <c r="T29" s="3">
        <v>1.7250000000000001</v>
      </c>
      <c r="U29" s="3">
        <v>3.45</v>
      </c>
      <c r="V29" s="3">
        <v>3.8374999999999999</v>
      </c>
      <c r="W29" s="3">
        <v>4.18888888888889</v>
      </c>
      <c r="X29" s="3">
        <v>4.2222222222222197</v>
      </c>
      <c r="Y29" s="3">
        <v>1.9125000000000001</v>
      </c>
      <c r="Z29" s="3">
        <v>2.97</v>
      </c>
      <c r="AA29" s="3">
        <v>4.3</v>
      </c>
      <c r="AB29" s="3">
        <v>4.12222222222222</v>
      </c>
      <c r="AC29" s="3">
        <v>2.6777777777777798</v>
      </c>
      <c r="AD29" s="3">
        <v>2.9249999999999998</v>
      </c>
      <c r="AE29" s="3">
        <v>3.89</v>
      </c>
    </row>
    <row r="30" spans="1:31" x14ac:dyDescent="0.2">
      <c r="A30" s="3">
        <v>24046</v>
      </c>
      <c r="B30" s="3">
        <v>1.88</v>
      </c>
      <c r="C30" s="3">
        <v>3.67</v>
      </c>
      <c r="D30" s="3">
        <v>3.56</v>
      </c>
      <c r="E30" s="3">
        <v>4.75</v>
      </c>
      <c r="F30" s="3">
        <v>4.7</v>
      </c>
      <c r="G30" s="3">
        <v>2.5125000000000002</v>
      </c>
      <c r="H30" s="3">
        <v>3.6555555555555599</v>
      </c>
      <c r="I30" s="3">
        <v>1.9222222222222201</v>
      </c>
      <c r="J30" s="3">
        <v>3.6375000000000002</v>
      </c>
      <c r="K30" s="3">
        <v>3.51</v>
      </c>
      <c r="L30" s="3">
        <v>2.5625</v>
      </c>
      <c r="M30" s="3">
        <v>3.7222222222222201</v>
      </c>
      <c r="N30" s="3">
        <v>1.8888888888888899</v>
      </c>
      <c r="O30" s="3">
        <v>3.4750000000000001</v>
      </c>
      <c r="P30" s="3">
        <v>3.11</v>
      </c>
      <c r="Q30" s="3">
        <v>2.0249999999999999</v>
      </c>
      <c r="R30" s="3">
        <v>3.3222222222222202</v>
      </c>
      <c r="S30" s="3">
        <v>1.82222222222222</v>
      </c>
      <c r="T30" s="3">
        <v>3.6749999999999998</v>
      </c>
      <c r="U30" s="3">
        <v>2.71</v>
      </c>
      <c r="V30" s="3">
        <v>2.625</v>
      </c>
      <c r="W30" s="3">
        <v>3.6666666666666701</v>
      </c>
      <c r="X30" s="3">
        <v>1.9555555555555599</v>
      </c>
      <c r="Y30" s="3">
        <v>3.6875</v>
      </c>
      <c r="Z30" s="3">
        <v>3.67</v>
      </c>
      <c r="AA30" s="3">
        <v>3.1375000000000002</v>
      </c>
      <c r="AB30" s="3">
        <v>3.5444444444444501</v>
      </c>
      <c r="AC30" s="3">
        <v>2.5444444444444501</v>
      </c>
      <c r="AD30" s="3">
        <v>4.0875000000000004</v>
      </c>
      <c r="AE30" s="3">
        <v>3.37</v>
      </c>
    </row>
    <row r="31" spans="1:31" x14ac:dyDescent="0.2">
      <c r="A31" s="3">
        <v>24211</v>
      </c>
      <c r="B31" s="3">
        <v>3.25</v>
      </c>
      <c r="C31" s="3">
        <v>4</v>
      </c>
      <c r="D31" s="3">
        <v>4.1100000000000003</v>
      </c>
      <c r="E31" s="3">
        <v>2.75</v>
      </c>
      <c r="F31" s="3">
        <v>3.6</v>
      </c>
      <c r="G31" s="3">
        <v>3.75</v>
      </c>
      <c r="H31" s="3">
        <v>4.4444444444444402</v>
      </c>
      <c r="I31" s="3">
        <v>4.1111111111111098</v>
      </c>
      <c r="J31" s="3">
        <v>1.6375</v>
      </c>
      <c r="K31" s="3">
        <v>2.77</v>
      </c>
      <c r="L31" s="3">
        <v>3.8624999999999998</v>
      </c>
      <c r="M31" s="3">
        <v>4.4444444444444402</v>
      </c>
      <c r="N31" s="3">
        <v>4.1111111111111098</v>
      </c>
      <c r="O31" s="3">
        <v>1.7749999999999999</v>
      </c>
      <c r="P31" s="3">
        <v>2.8</v>
      </c>
      <c r="Q31" s="3">
        <v>3.3</v>
      </c>
      <c r="R31" s="3">
        <v>4.43333333333333</v>
      </c>
      <c r="S31" s="3">
        <v>3.8555555555555601</v>
      </c>
      <c r="T31" s="3">
        <v>1.8625</v>
      </c>
      <c r="U31" s="3">
        <v>2.82</v>
      </c>
      <c r="V31" s="3">
        <v>4.4000000000000004</v>
      </c>
      <c r="W31" s="3">
        <v>4.4444444444444402</v>
      </c>
      <c r="X31" s="3">
        <v>4</v>
      </c>
      <c r="Y31" s="3">
        <v>1.65</v>
      </c>
      <c r="Z31" s="3">
        <v>2.99</v>
      </c>
      <c r="AA31" s="3">
        <v>3.9249999999999998</v>
      </c>
      <c r="AB31" s="3">
        <v>4.4222222222222198</v>
      </c>
      <c r="AC31" s="3">
        <v>4.1111111111111098</v>
      </c>
      <c r="AD31" s="3">
        <v>1.875</v>
      </c>
      <c r="AE31" s="3">
        <v>2.69</v>
      </c>
    </row>
    <row r="32" spans="1:31" x14ac:dyDescent="0.2">
      <c r="A32" s="3">
        <v>24906</v>
      </c>
      <c r="B32" s="3">
        <v>4</v>
      </c>
      <c r="C32" s="3">
        <v>4.8899999999999997</v>
      </c>
      <c r="D32" s="3">
        <v>4.78</v>
      </c>
      <c r="E32" s="3">
        <v>2.13</v>
      </c>
      <c r="F32" s="3">
        <v>4.5</v>
      </c>
      <c r="G32" s="3">
        <v>2.4624999999999999</v>
      </c>
      <c r="H32" s="3">
        <v>4.24444444444444</v>
      </c>
      <c r="I32" s="3">
        <v>3.3222222222222202</v>
      </c>
      <c r="J32" s="3">
        <v>1.5</v>
      </c>
      <c r="K32" s="3">
        <v>3.07</v>
      </c>
      <c r="L32" s="3">
        <v>2.3875000000000002</v>
      </c>
      <c r="M32" s="3">
        <v>4.1333333333333302</v>
      </c>
      <c r="N32" s="3">
        <v>3.1333333333333302</v>
      </c>
      <c r="O32" s="3">
        <v>1.4750000000000001</v>
      </c>
      <c r="P32" s="3">
        <v>3.07</v>
      </c>
      <c r="Q32" s="3">
        <v>2.5625</v>
      </c>
      <c r="R32" s="3">
        <v>4.2</v>
      </c>
      <c r="S32" s="3">
        <v>3</v>
      </c>
      <c r="T32" s="3">
        <v>1.8125</v>
      </c>
      <c r="U32" s="3">
        <v>2.99</v>
      </c>
      <c r="V32" s="3">
        <v>3.7374999999999998</v>
      </c>
      <c r="W32" s="3">
        <v>4.4222222222222198</v>
      </c>
      <c r="X32" s="3">
        <v>3.12222222222222</v>
      </c>
      <c r="Y32" s="3">
        <v>1.7749999999999999</v>
      </c>
      <c r="Z32" s="3">
        <v>3.3</v>
      </c>
      <c r="AA32" s="3">
        <v>3.8624999999999998</v>
      </c>
      <c r="AB32" s="3">
        <v>4.4444444444444402</v>
      </c>
      <c r="AC32" s="3">
        <v>3.7111111111111099</v>
      </c>
      <c r="AD32" s="3">
        <v>1.8625</v>
      </c>
      <c r="AE32" s="3">
        <v>3.76</v>
      </c>
    </row>
    <row r="33" spans="1:31" x14ac:dyDescent="0.2">
      <c r="A33" s="3">
        <v>26106</v>
      </c>
      <c r="B33" s="3">
        <v>2.5</v>
      </c>
      <c r="C33" s="3">
        <v>1.22</v>
      </c>
      <c r="D33" s="3">
        <v>2.89</v>
      </c>
      <c r="E33" s="3">
        <v>4.75</v>
      </c>
      <c r="F33" s="3">
        <v>4.5</v>
      </c>
      <c r="G33" s="3">
        <v>2.0499999999999998</v>
      </c>
      <c r="H33" s="3">
        <v>2.5444444444444501</v>
      </c>
      <c r="I33" s="3">
        <v>2.12222222222222</v>
      </c>
      <c r="J33" s="3">
        <v>4.4000000000000004</v>
      </c>
      <c r="K33" s="3">
        <v>3.43</v>
      </c>
      <c r="L33" s="3">
        <v>2</v>
      </c>
      <c r="M33" s="3">
        <v>2.8333333333333299</v>
      </c>
      <c r="N33" s="3">
        <v>2.1444444444444399</v>
      </c>
      <c r="O33" s="3">
        <v>4.5750000000000002</v>
      </c>
      <c r="P33" s="3">
        <v>3.21</v>
      </c>
      <c r="Q33" s="3">
        <v>2.4500000000000002</v>
      </c>
      <c r="R33" s="3">
        <v>3.9222222222222198</v>
      </c>
      <c r="S33" s="3">
        <v>2.2333333333333298</v>
      </c>
      <c r="T33" s="3">
        <v>4.0250000000000004</v>
      </c>
      <c r="U33" s="3">
        <v>3.24</v>
      </c>
      <c r="V33" s="3">
        <v>2.1749999999999998</v>
      </c>
      <c r="W33" s="3">
        <v>2.6666666666666701</v>
      </c>
      <c r="X33" s="3">
        <v>2.1111111111111098</v>
      </c>
      <c r="Y33" s="3">
        <v>4.3875000000000002</v>
      </c>
      <c r="Z33" s="3">
        <v>3.4</v>
      </c>
      <c r="AA33" s="3">
        <v>3</v>
      </c>
      <c r="AB33" s="3">
        <v>2.8333333333333299</v>
      </c>
      <c r="AC33" s="3">
        <v>2.1555555555555599</v>
      </c>
      <c r="AD33" s="3">
        <v>3.875</v>
      </c>
      <c r="AE33" s="3">
        <v>3.04</v>
      </c>
    </row>
    <row r="34" spans="1:31" x14ac:dyDescent="0.2">
      <c r="A34" s="3">
        <v>27554</v>
      </c>
      <c r="B34" s="3">
        <v>3.63</v>
      </c>
      <c r="C34" s="3">
        <v>4.67</v>
      </c>
      <c r="D34" s="3">
        <v>5</v>
      </c>
      <c r="E34" s="3">
        <v>1.38</v>
      </c>
      <c r="F34" s="3">
        <v>3.7</v>
      </c>
      <c r="G34" s="3">
        <v>2.3374999999999999</v>
      </c>
      <c r="H34" s="3">
        <v>3.5111111111111102</v>
      </c>
      <c r="I34" s="3">
        <v>4.24444444444444</v>
      </c>
      <c r="J34" s="3">
        <v>1.1499999999999999</v>
      </c>
      <c r="K34" s="3">
        <v>2.52</v>
      </c>
      <c r="L34" s="3">
        <v>2.125</v>
      </c>
      <c r="M34" s="3">
        <v>3.4888888888888898</v>
      </c>
      <c r="N34" s="3">
        <v>4.1111111111111098</v>
      </c>
      <c r="O34" s="3">
        <v>1.7250000000000001</v>
      </c>
      <c r="P34" s="3">
        <v>2.4700000000000002</v>
      </c>
      <c r="Q34" s="3">
        <v>1.9624999999999999</v>
      </c>
      <c r="R34" s="3">
        <v>3.0111111111111102</v>
      </c>
      <c r="S34" s="3">
        <v>4</v>
      </c>
      <c r="T34" s="3">
        <v>2</v>
      </c>
      <c r="U34" s="3">
        <v>2.4700000000000002</v>
      </c>
      <c r="V34" s="3">
        <v>2.4874999999999998</v>
      </c>
      <c r="W34" s="3">
        <v>3.5222222222222199</v>
      </c>
      <c r="X34" s="3">
        <v>3.93333333333333</v>
      </c>
      <c r="Y34" s="3">
        <v>1.875</v>
      </c>
      <c r="Z34" s="3">
        <v>2.66</v>
      </c>
      <c r="AA34" s="3">
        <v>3.65</v>
      </c>
      <c r="AB34" s="3">
        <v>3.87777777777778</v>
      </c>
      <c r="AC34" s="3">
        <v>4.0999999999999996</v>
      </c>
      <c r="AD34" s="3">
        <v>2.1749999999999998</v>
      </c>
      <c r="AE34" s="3">
        <v>2.76</v>
      </c>
    </row>
    <row r="35" spans="1:31" x14ac:dyDescent="0.2">
      <c r="A35" s="3">
        <v>28491</v>
      </c>
      <c r="B35" s="3">
        <v>3</v>
      </c>
      <c r="C35" s="3">
        <v>3.56</v>
      </c>
      <c r="D35" s="3">
        <v>3.44</v>
      </c>
      <c r="E35" s="3">
        <v>3.38</v>
      </c>
      <c r="F35" s="3">
        <v>3.9</v>
      </c>
      <c r="G35" s="3">
        <v>3.1875</v>
      </c>
      <c r="H35" s="3">
        <v>4.4555555555555504</v>
      </c>
      <c r="I35" s="3">
        <v>3.7</v>
      </c>
      <c r="J35" s="3">
        <v>1.6375</v>
      </c>
      <c r="K35" s="3">
        <v>4.71</v>
      </c>
      <c r="L35" s="3">
        <v>2.9249999999999998</v>
      </c>
      <c r="M35" s="3">
        <v>4.1666666666666696</v>
      </c>
      <c r="N35" s="3">
        <v>3.31111111111111</v>
      </c>
      <c r="O35" s="3">
        <v>1.9125000000000001</v>
      </c>
      <c r="P35" s="3">
        <v>4.6900000000000004</v>
      </c>
      <c r="Q35" s="3">
        <v>2.9874999999999998</v>
      </c>
      <c r="R35" s="3">
        <v>4.1666666666666599</v>
      </c>
      <c r="S35" s="3">
        <v>2.75555555555556</v>
      </c>
      <c r="T35" s="3">
        <v>2.0499999999999998</v>
      </c>
      <c r="U35" s="3">
        <v>4.6500000000000004</v>
      </c>
      <c r="V35" s="3">
        <v>3.5</v>
      </c>
      <c r="W35" s="3">
        <v>4.4444444444444402</v>
      </c>
      <c r="X35" s="3">
        <v>3.1</v>
      </c>
      <c r="Y35" s="3">
        <v>1.85</v>
      </c>
      <c r="Z35" s="3">
        <v>4.7</v>
      </c>
      <c r="AA35" s="3">
        <v>3.5625</v>
      </c>
      <c r="AB35" s="3">
        <v>3.4222222222222198</v>
      </c>
      <c r="AC35" s="3">
        <v>3.37777777777778</v>
      </c>
      <c r="AD35" s="3">
        <v>2.125</v>
      </c>
      <c r="AE35" s="3">
        <v>4.72</v>
      </c>
    </row>
    <row r="36" spans="1:31" x14ac:dyDescent="0.2">
      <c r="A36" s="3">
        <v>29078</v>
      </c>
      <c r="B36" s="3">
        <v>3</v>
      </c>
      <c r="C36" s="3">
        <v>3.78</v>
      </c>
      <c r="D36" s="3">
        <v>4.1100000000000003</v>
      </c>
      <c r="E36" s="3">
        <v>1.88</v>
      </c>
      <c r="F36" s="3">
        <v>4</v>
      </c>
      <c r="G36" s="3">
        <v>3</v>
      </c>
      <c r="H36" s="3">
        <v>4.2333333333333298</v>
      </c>
      <c r="I36" s="3">
        <v>2.2000000000000002</v>
      </c>
      <c r="J36" s="3">
        <v>1.925</v>
      </c>
      <c r="K36" s="3">
        <v>3.77</v>
      </c>
      <c r="L36" s="3">
        <v>2.9125000000000001</v>
      </c>
      <c r="M36" s="3">
        <v>4.12222222222222</v>
      </c>
      <c r="N36" s="3">
        <v>2.12222222222222</v>
      </c>
      <c r="O36" s="3">
        <v>1.9875</v>
      </c>
      <c r="P36" s="3">
        <v>3.65</v>
      </c>
      <c r="Q36" s="3">
        <v>2.375</v>
      </c>
      <c r="R36" s="3">
        <v>3.7</v>
      </c>
      <c r="S36" s="3">
        <v>2.1111111111111098</v>
      </c>
      <c r="T36" s="3">
        <v>2</v>
      </c>
      <c r="U36" s="3">
        <v>3.26</v>
      </c>
      <c r="V36" s="3">
        <v>3.5874999999999999</v>
      </c>
      <c r="W36" s="3">
        <v>4.1666666666666599</v>
      </c>
      <c r="X36" s="3">
        <v>2.1111111111111098</v>
      </c>
      <c r="Y36" s="3">
        <v>1.9</v>
      </c>
      <c r="Z36" s="3">
        <v>4.0599999999999996</v>
      </c>
      <c r="AA36" s="3">
        <v>3.8624999999999998</v>
      </c>
      <c r="AB36" s="3">
        <v>3.4</v>
      </c>
      <c r="AC36" s="3">
        <v>2.05555555555555</v>
      </c>
      <c r="AD36" s="3">
        <v>1.9750000000000001</v>
      </c>
      <c r="AE36" s="3">
        <v>4.13</v>
      </c>
    </row>
    <row r="37" spans="1:31" x14ac:dyDescent="0.2">
      <c r="A37" s="3">
        <v>31715</v>
      </c>
      <c r="B37" s="3">
        <v>4.25</v>
      </c>
      <c r="C37" s="3">
        <v>5</v>
      </c>
      <c r="D37" s="3">
        <v>4</v>
      </c>
      <c r="E37" s="3">
        <v>1.1299999999999999</v>
      </c>
      <c r="F37" s="3">
        <v>3.7</v>
      </c>
      <c r="G37" s="3">
        <v>3.7250000000000001</v>
      </c>
      <c r="H37" s="3">
        <v>4.5222222222222204</v>
      </c>
      <c r="I37" s="3">
        <v>3.4666666666666699</v>
      </c>
      <c r="J37" s="3">
        <v>1.7124999999999999</v>
      </c>
      <c r="K37" s="3">
        <v>3.11</v>
      </c>
      <c r="L37" s="3">
        <v>3.2374999999999998</v>
      </c>
      <c r="M37" s="3">
        <v>4.4888888888888898</v>
      </c>
      <c r="N37" s="3">
        <v>4.2666666666666604</v>
      </c>
      <c r="O37" s="3">
        <v>1.425</v>
      </c>
      <c r="P37" s="3">
        <v>3.24</v>
      </c>
      <c r="Q37" s="3">
        <v>2.8624999999999998</v>
      </c>
      <c r="R37" s="3">
        <v>4.1444444444444404</v>
      </c>
      <c r="S37" s="3">
        <v>3.9888888888888898</v>
      </c>
      <c r="T37" s="3">
        <v>1.875</v>
      </c>
      <c r="U37" s="3">
        <v>3.28</v>
      </c>
      <c r="V37" s="3">
        <v>4.2249999999999996</v>
      </c>
      <c r="W37" s="3">
        <v>4.7888888888888896</v>
      </c>
      <c r="X37" s="3">
        <v>3.5222222222222199</v>
      </c>
      <c r="Y37" s="3">
        <v>1.85</v>
      </c>
      <c r="Z37" s="3">
        <v>3.83</v>
      </c>
      <c r="AA37" s="3">
        <v>3.625</v>
      </c>
      <c r="AB37" s="3">
        <v>4.4777777777777796</v>
      </c>
      <c r="AC37" s="3">
        <v>3.5777777777777802</v>
      </c>
      <c r="AD37" s="3">
        <v>2.7875000000000001</v>
      </c>
      <c r="AE37" s="3">
        <v>3.58</v>
      </c>
    </row>
    <row r="38" spans="1:31" x14ac:dyDescent="0.2">
      <c r="A38" s="3">
        <v>32743</v>
      </c>
      <c r="B38" s="3">
        <v>1.25</v>
      </c>
      <c r="C38" s="3">
        <v>4.22</v>
      </c>
      <c r="D38" s="3">
        <v>3.11</v>
      </c>
      <c r="E38" s="3">
        <v>4.38</v>
      </c>
      <c r="F38" s="3">
        <v>4.3</v>
      </c>
      <c r="G38" s="3">
        <v>3.5375000000000001</v>
      </c>
      <c r="H38" s="3">
        <v>4.62222222222222</v>
      </c>
      <c r="I38" s="3">
        <v>3.9777777777777801</v>
      </c>
      <c r="J38" s="3">
        <v>1.8875</v>
      </c>
      <c r="K38" s="3">
        <v>4.79</v>
      </c>
      <c r="L38" s="3">
        <v>3.6</v>
      </c>
      <c r="M38" s="3">
        <v>4.4555555555555504</v>
      </c>
      <c r="N38" s="3">
        <v>3.7</v>
      </c>
      <c r="O38" s="3">
        <v>1.875</v>
      </c>
      <c r="P38" s="3">
        <v>4.8</v>
      </c>
      <c r="Q38" s="3">
        <v>3.5874999999999999</v>
      </c>
      <c r="R38" s="3">
        <v>4.4444444444444402</v>
      </c>
      <c r="S38" s="3">
        <v>3.8444444444444401</v>
      </c>
      <c r="T38" s="3">
        <v>1.875</v>
      </c>
      <c r="U38" s="3">
        <v>4.87</v>
      </c>
      <c r="V38" s="3">
        <v>3.6124999999999998</v>
      </c>
      <c r="W38" s="3">
        <v>4.4444444444444402</v>
      </c>
      <c r="X38" s="3">
        <v>3.81111111111111</v>
      </c>
      <c r="Y38" s="3">
        <v>1.9624999999999999</v>
      </c>
      <c r="Z38" s="3">
        <v>4.78</v>
      </c>
      <c r="AA38" s="3">
        <v>3.4125000000000001</v>
      </c>
      <c r="AB38" s="3">
        <v>4.2888888888888896</v>
      </c>
      <c r="AC38" s="3">
        <v>3.5444444444444398</v>
      </c>
      <c r="AD38" s="3">
        <v>2.85</v>
      </c>
      <c r="AE38" s="3">
        <v>4.62</v>
      </c>
    </row>
    <row r="39" spans="1:31" x14ac:dyDescent="0.2">
      <c r="A39" s="3">
        <v>33073</v>
      </c>
      <c r="B39" s="3">
        <v>2.75</v>
      </c>
      <c r="C39" s="3">
        <v>3.89</v>
      </c>
      <c r="D39" s="3">
        <v>2.78</v>
      </c>
      <c r="E39" s="3">
        <v>4.38</v>
      </c>
      <c r="F39" s="3">
        <v>3.3</v>
      </c>
      <c r="G39" s="3">
        <v>2.125</v>
      </c>
      <c r="H39" s="3">
        <v>3.8222222222222202</v>
      </c>
      <c r="I39" s="3">
        <v>4</v>
      </c>
      <c r="J39" s="3">
        <v>1.9125000000000001</v>
      </c>
      <c r="K39" s="3">
        <v>2.19</v>
      </c>
      <c r="L39" s="3">
        <v>2.0750000000000002</v>
      </c>
      <c r="M39" s="3">
        <v>3.5555555555555598</v>
      </c>
      <c r="N39" s="3">
        <v>3.9888888888888898</v>
      </c>
      <c r="O39" s="3">
        <v>1.8875</v>
      </c>
      <c r="P39" s="3">
        <v>2.2200000000000002</v>
      </c>
      <c r="Q39" s="3">
        <v>1.85</v>
      </c>
      <c r="R39" s="3">
        <v>3.4444444444444402</v>
      </c>
      <c r="S39" s="3">
        <v>4.0555555555555598</v>
      </c>
      <c r="T39" s="3">
        <v>2</v>
      </c>
      <c r="U39" s="3">
        <v>2</v>
      </c>
      <c r="V39" s="3">
        <v>2.1124999999999998</v>
      </c>
      <c r="W39" s="3">
        <v>3.9666666666666699</v>
      </c>
      <c r="X39" s="3">
        <v>3.87777777777778</v>
      </c>
      <c r="Y39" s="3">
        <v>1.95</v>
      </c>
      <c r="Z39" s="3">
        <v>2.2799999999999998</v>
      </c>
      <c r="AA39" s="3">
        <v>3.3875000000000002</v>
      </c>
      <c r="AB39" s="3">
        <v>4.18888888888889</v>
      </c>
      <c r="AC39" s="3">
        <v>4.12222222222222</v>
      </c>
      <c r="AD39" s="3">
        <v>1.875</v>
      </c>
      <c r="AE39" s="3">
        <v>2.81</v>
      </c>
    </row>
    <row r="40" spans="1:31" x14ac:dyDescent="0.2">
      <c r="A40" s="3">
        <v>33116</v>
      </c>
      <c r="B40" s="3">
        <v>3.38</v>
      </c>
      <c r="C40" s="3">
        <v>4.5599999999999996</v>
      </c>
      <c r="D40" s="3">
        <v>3.67</v>
      </c>
      <c r="E40" s="3">
        <v>1.88</v>
      </c>
      <c r="F40" s="3">
        <v>3.7</v>
      </c>
      <c r="G40" s="3">
        <v>3.5</v>
      </c>
      <c r="H40" s="3">
        <v>4.5444444444444496</v>
      </c>
      <c r="I40" s="3">
        <v>4.4222222222222198</v>
      </c>
      <c r="J40" s="3">
        <v>1.5125</v>
      </c>
      <c r="K40" s="3">
        <v>3.39</v>
      </c>
      <c r="L40" s="3">
        <v>3.375</v>
      </c>
      <c r="M40" s="3">
        <v>4.93333333333333</v>
      </c>
      <c r="N40" s="3">
        <v>4.1111111111111098</v>
      </c>
      <c r="O40" s="3">
        <v>1.5249999999999999</v>
      </c>
      <c r="P40" s="3">
        <v>3.97</v>
      </c>
      <c r="Q40" s="3">
        <v>3.4624999999999999</v>
      </c>
      <c r="R40" s="3">
        <v>4.8</v>
      </c>
      <c r="S40" s="3">
        <v>4.1111111111111098</v>
      </c>
      <c r="T40" s="3">
        <v>1.3625</v>
      </c>
      <c r="U40" s="3">
        <v>3.42</v>
      </c>
      <c r="V40" s="3">
        <v>4</v>
      </c>
      <c r="W40" s="3">
        <v>4.68888888888889</v>
      </c>
      <c r="X40" s="3">
        <v>4.1111111111111098</v>
      </c>
      <c r="Y40" s="3">
        <v>1.4750000000000001</v>
      </c>
      <c r="Z40" s="3">
        <v>3.97</v>
      </c>
      <c r="AA40" s="3">
        <v>3.9624999999999999</v>
      </c>
      <c r="AB40" s="3">
        <v>4.7</v>
      </c>
      <c r="AC40" s="3">
        <v>4.1555555555555603</v>
      </c>
      <c r="AD40" s="3">
        <v>1.6875</v>
      </c>
      <c r="AE40" s="3">
        <v>4.16</v>
      </c>
    </row>
    <row r="41" spans="1:31" x14ac:dyDescent="0.2">
      <c r="A41" s="3">
        <v>33285</v>
      </c>
      <c r="B41" s="3">
        <v>2.88</v>
      </c>
      <c r="C41" s="3">
        <v>4.33</v>
      </c>
      <c r="D41" s="3">
        <v>4.8899999999999997</v>
      </c>
      <c r="E41" s="3">
        <v>2.88</v>
      </c>
      <c r="F41" s="3">
        <v>3.8</v>
      </c>
      <c r="G41" s="3">
        <v>3.875</v>
      </c>
      <c r="H41" s="3">
        <v>4.68888888888889</v>
      </c>
      <c r="I41" s="3">
        <v>3.8222222222222202</v>
      </c>
      <c r="J41" s="3">
        <v>1.875</v>
      </c>
      <c r="K41" s="3">
        <v>3.77</v>
      </c>
      <c r="L41" s="3">
        <v>3.8624999999999998</v>
      </c>
      <c r="M41" s="3">
        <v>4.6666666666666696</v>
      </c>
      <c r="N41" s="3">
        <v>3.6666666666666701</v>
      </c>
      <c r="O41" s="3">
        <v>1.7124999999999999</v>
      </c>
      <c r="P41" s="3">
        <v>3.32</v>
      </c>
      <c r="Q41" s="3">
        <v>3.4</v>
      </c>
      <c r="R41" s="3">
        <v>4.4555555555555504</v>
      </c>
      <c r="S41" s="3">
        <v>3.4888888888888898</v>
      </c>
      <c r="T41" s="3">
        <v>1.825</v>
      </c>
      <c r="U41" s="3">
        <v>2.75</v>
      </c>
      <c r="V41" s="3">
        <v>4.4625000000000004</v>
      </c>
      <c r="W41" s="3">
        <v>4.8222222222222202</v>
      </c>
      <c r="X41" s="3">
        <v>3.4444444444444402</v>
      </c>
      <c r="Y41" s="3">
        <v>1.85</v>
      </c>
      <c r="Z41" s="3">
        <v>4.13</v>
      </c>
      <c r="AA41" s="3">
        <v>4.4625000000000004</v>
      </c>
      <c r="AB41" s="3">
        <v>4.6333333333333302</v>
      </c>
      <c r="AC41" s="3">
        <v>3.62222222222222</v>
      </c>
      <c r="AD41" s="3">
        <v>1.8374999999999999</v>
      </c>
      <c r="AE41" s="3">
        <v>3.93</v>
      </c>
    </row>
    <row r="42" spans="1:31" x14ac:dyDescent="0.2">
      <c r="A42" s="3">
        <v>34695</v>
      </c>
      <c r="B42" s="3">
        <v>4.63</v>
      </c>
      <c r="C42" s="3">
        <v>5</v>
      </c>
      <c r="D42" s="3">
        <v>4.8899999999999997</v>
      </c>
      <c r="E42" s="3">
        <v>1.25</v>
      </c>
      <c r="F42" s="3">
        <v>4.8</v>
      </c>
      <c r="G42" s="3">
        <v>3.5125000000000002</v>
      </c>
      <c r="H42" s="3">
        <v>4.5</v>
      </c>
      <c r="I42" s="3">
        <v>4</v>
      </c>
      <c r="J42" s="3">
        <v>2.6875</v>
      </c>
      <c r="K42" s="3">
        <v>2.75</v>
      </c>
      <c r="L42" s="3">
        <v>3.4874999999999998</v>
      </c>
      <c r="M42" s="3">
        <v>4.3555555555555499</v>
      </c>
      <c r="N42" s="3">
        <v>3.4</v>
      </c>
      <c r="O42" s="3">
        <v>2.8125</v>
      </c>
      <c r="P42" s="3">
        <v>2.72</v>
      </c>
      <c r="Q42" s="3">
        <v>3.0375000000000001</v>
      </c>
      <c r="R42" s="3">
        <v>4.2333333333333298</v>
      </c>
      <c r="S42" s="3">
        <v>3.93333333333333</v>
      </c>
      <c r="T42" s="3">
        <v>3</v>
      </c>
      <c r="U42" s="3">
        <v>2.57</v>
      </c>
      <c r="V42" s="3">
        <v>3.875</v>
      </c>
      <c r="W42" s="3">
        <v>4.4555555555555504</v>
      </c>
      <c r="X42" s="3">
        <v>3.9222222222222198</v>
      </c>
      <c r="Y42" s="3">
        <v>2.5874999999999999</v>
      </c>
      <c r="Z42" s="3">
        <v>3.05</v>
      </c>
      <c r="AA42" s="3">
        <v>3.875</v>
      </c>
      <c r="AB42" s="3">
        <v>4.4111111111111097</v>
      </c>
      <c r="AC42" s="3">
        <v>3.6111111111111098</v>
      </c>
      <c r="AD42" s="3">
        <v>1.6625000000000001</v>
      </c>
      <c r="AE42" s="3">
        <v>2.99</v>
      </c>
    </row>
    <row r="43" spans="1:31" x14ac:dyDescent="0.2">
      <c r="A43" s="3">
        <v>35566</v>
      </c>
      <c r="B43" s="3">
        <v>3.38</v>
      </c>
      <c r="C43" s="3">
        <v>4.33</v>
      </c>
      <c r="D43" s="3">
        <v>4.33</v>
      </c>
      <c r="E43" s="3">
        <v>1.88</v>
      </c>
      <c r="F43" s="3">
        <v>3.8</v>
      </c>
      <c r="G43" s="3">
        <v>2.9624999999999999</v>
      </c>
      <c r="H43" s="3">
        <v>4.2555555555555502</v>
      </c>
      <c r="I43" s="3">
        <v>3.1777777777777798</v>
      </c>
      <c r="J43" s="3">
        <v>1.925</v>
      </c>
      <c r="K43" s="3">
        <v>2.85</v>
      </c>
      <c r="L43" s="3">
        <v>3.0375000000000001</v>
      </c>
      <c r="M43" s="3">
        <v>3.9666666666666699</v>
      </c>
      <c r="N43" s="3">
        <v>3.1333333333333302</v>
      </c>
      <c r="O43" s="3">
        <v>1.8625</v>
      </c>
      <c r="P43" s="3">
        <v>2.68</v>
      </c>
      <c r="Q43" s="3">
        <v>2.65</v>
      </c>
      <c r="R43" s="3">
        <v>3.1444444444444399</v>
      </c>
      <c r="S43" s="3">
        <v>3.0222222222222199</v>
      </c>
      <c r="T43" s="3">
        <v>1.9</v>
      </c>
      <c r="U43" s="3">
        <v>2.21</v>
      </c>
      <c r="V43" s="3">
        <v>3.1124999999999998</v>
      </c>
      <c r="W43" s="3">
        <v>4.0999999999999996</v>
      </c>
      <c r="X43" s="3">
        <v>2.9555555555555602</v>
      </c>
      <c r="Y43" s="3">
        <v>2.2374999999999998</v>
      </c>
      <c r="Z43" s="3">
        <v>2.78</v>
      </c>
      <c r="AA43" s="3">
        <v>3.0750000000000002</v>
      </c>
      <c r="AB43" s="3">
        <v>3.7</v>
      </c>
      <c r="AC43" s="3">
        <v>4.1333333333333302</v>
      </c>
      <c r="AD43" s="3">
        <v>2.5</v>
      </c>
      <c r="AE43" s="3">
        <v>2.15</v>
      </c>
    </row>
    <row r="44" spans="1:31" x14ac:dyDescent="0.2">
      <c r="A44" s="3">
        <v>37274</v>
      </c>
      <c r="B44" s="3">
        <v>2.75</v>
      </c>
      <c r="C44" s="3">
        <v>2.67</v>
      </c>
      <c r="D44" s="3">
        <v>2.78</v>
      </c>
      <c r="E44" s="3">
        <v>4.13</v>
      </c>
      <c r="F44" s="3">
        <v>4.2</v>
      </c>
      <c r="G44" s="3">
        <v>2.85</v>
      </c>
      <c r="H44" s="3">
        <v>2.06666666666667</v>
      </c>
      <c r="I44" s="3">
        <v>2.1666666666666701</v>
      </c>
      <c r="J44" s="3">
        <v>4.9000000000000004</v>
      </c>
      <c r="K44" s="3">
        <v>2.82</v>
      </c>
      <c r="L44" s="3">
        <v>2.9</v>
      </c>
      <c r="M44" s="3">
        <v>2.06666666666667</v>
      </c>
      <c r="N44" s="3">
        <v>3.4777777777777801</v>
      </c>
      <c r="O44" s="3">
        <v>4.875</v>
      </c>
      <c r="P44" s="3">
        <v>2.83</v>
      </c>
      <c r="Q44" s="3">
        <v>2.6375000000000002</v>
      </c>
      <c r="R44" s="3">
        <v>2.06666666666667</v>
      </c>
      <c r="S44" s="3">
        <v>2.3444444444444401</v>
      </c>
      <c r="T44" s="3">
        <v>4.95</v>
      </c>
      <c r="U44" s="3">
        <v>2.92</v>
      </c>
      <c r="V44" s="3">
        <v>3.35</v>
      </c>
      <c r="W44" s="3">
        <v>1.7888888888888901</v>
      </c>
      <c r="X44" s="3">
        <v>2.1</v>
      </c>
      <c r="Y44" s="3">
        <v>4.875</v>
      </c>
      <c r="Z44" s="3">
        <v>2.59</v>
      </c>
      <c r="AA44" s="3">
        <v>3.5625</v>
      </c>
      <c r="AB44" s="3">
        <v>1.86666666666667</v>
      </c>
      <c r="AC44" s="3">
        <v>2.2555555555555502</v>
      </c>
      <c r="AD44" s="3">
        <v>4.9874999999999998</v>
      </c>
      <c r="AE44" s="3">
        <v>3.12</v>
      </c>
    </row>
    <row r="45" spans="1:31" x14ac:dyDescent="0.2">
      <c r="A45" s="3">
        <v>37904</v>
      </c>
      <c r="B45" s="3">
        <v>2.75</v>
      </c>
      <c r="C45" s="3">
        <v>3.56</v>
      </c>
      <c r="D45" s="3">
        <v>3.89</v>
      </c>
      <c r="E45" s="3">
        <v>2.75</v>
      </c>
      <c r="F45" s="3">
        <v>3.9</v>
      </c>
      <c r="G45" s="3">
        <v>2.9125000000000001</v>
      </c>
      <c r="H45" s="3">
        <v>3.7222222222222201</v>
      </c>
      <c r="I45" s="3">
        <v>3.2</v>
      </c>
      <c r="J45" s="3">
        <v>1.85</v>
      </c>
      <c r="K45" s="3">
        <v>3.18</v>
      </c>
      <c r="L45" s="3">
        <v>2.8250000000000002</v>
      </c>
      <c r="M45" s="3">
        <v>3.6555555555555599</v>
      </c>
      <c r="N45" s="3">
        <v>2.1</v>
      </c>
      <c r="O45" s="3">
        <v>1.9125000000000001</v>
      </c>
      <c r="P45" s="3">
        <v>3.09</v>
      </c>
      <c r="Q45" s="3">
        <v>3.6625000000000001</v>
      </c>
      <c r="R45" s="3">
        <v>3.0888888888888899</v>
      </c>
      <c r="S45" s="3">
        <v>1.94444444444444</v>
      </c>
      <c r="T45" s="3">
        <v>1.9750000000000001</v>
      </c>
      <c r="U45" s="3">
        <v>3.05</v>
      </c>
      <c r="V45" s="3">
        <v>3.55</v>
      </c>
      <c r="W45" s="3">
        <v>3.9111111111111101</v>
      </c>
      <c r="X45" s="3">
        <v>2.3222222222222202</v>
      </c>
      <c r="Y45" s="3">
        <v>1.825</v>
      </c>
      <c r="Z45" s="3">
        <v>3.13</v>
      </c>
      <c r="AA45" s="3">
        <v>3.4750000000000001</v>
      </c>
      <c r="AB45" s="3">
        <v>3.1333333333333302</v>
      </c>
      <c r="AC45" s="3">
        <v>2.0777777777777802</v>
      </c>
      <c r="AD45" s="3">
        <v>1.9</v>
      </c>
      <c r="AE45" s="3">
        <v>4.43</v>
      </c>
    </row>
    <row r="46" spans="1:31" x14ac:dyDescent="0.2">
      <c r="A46" s="3">
        <v>39627</v>
      </c>
      <c r="B46" s="3">
        <v>2.38</v>
      </c>
      <c r="C46" s="3">
        <v>4</v>
      </c>
      <c r="D46" s="3">
        <v>2.89</v>
      </c>
      <c r="E46" s="3">
        <v>4.75</v>
      </c>
      <c r="F46" s="3">
        <v>3.6</v>
      </c>
      <c r="G46" s="3">
        <v>2.95</v>
      </c>
      <c r="H46" s="3">
        <v>4.0888888888888903</v>
      </c>
      <c r="I46" s="3">
        <v>3.6111111111111098</v>
      </c>
      <c r="J46" s="3">
        <v>1.7124999999999999</v>
      </c>
      <c r="K46" s="3">
        <v>2.99</v>
      </c>
      <c r="L46" s="3">
        <v>2.6875</v>
      </c>
      <c r="M46" s="3">
        <v>4.0999999999999996</v>
      </c>
      <c r="N46" s="3">
        <v>3.4444444444444402</v>
      </c>
      <c r="O46" s="3">
        <v>1.7124999999999999</v>
      </c>
      <c r="P46" s="3">
        <v>2.86</v>
      </c>
      <c r="Q46" s="3">
        <v>2.2999999999999998</v>
      </c>
      <c r="R46" s="3">
        <v>3.9888888888888898</v>
      </c>
      <c r="S46" s="3">
        <v>3.8222222222222202</v>
      </c>
      <c r="T46" s="3">
        <v>1.8875</v>
      </c>
      <c r="U46" s="3">
        <v>2.61</v>
      </c>
      <c r="V46" s="3">
        <v>3.875</v>
      </c>
      <c r="W46" s="3">
        <v>4.06666666666667</v>
      </c>
      <c r="X46" s="3">
        <v>2.9111111111111101</v>
      </c>
      <c r="Y46" s="3">
        <v>1.825</v>
      </c>
      <c r="Z46" s="3">
        <v>3.05</v>
      </c>
      <c r="AA46" s="3">
        <v>4.2249999999999996</v>
      </c>
      <c r="AB46" s="3">
        <v>3.9</v>
      </c>
      <c r="AC46" s="3">
        <v>2.2999999999999998</v>
      </c>
      <c r="AD46" s="3">
        <v>1.9375</v>
      </c>
      <c r="AE46" s="3">
        <v>2.96</v>
      </c>
    </row>
    <row r="47" spans="1:31" x14ac:dyDescent="0.2">
      <c r="A47" s="3">
        <v>40103</v>
      </c>
      <c r="B47" s="3">
        <v>4.25</v>
      </c>
      <c r="C47" s="3">
        <v>4.22</v>
      </c>
      <c r="D47" s="3">
        <v>4.1100000000000003</v>
      </c>
      <c r="E47" s="3">
        <v>2.5</v>
      </c>
      <c r="F47" s="3">
        <v>4.0999999999999996</v>
      </c>
      <c r="G47" s="3">
        <v>3.3125</v>
      </c>
      <c r="H47" s="3">
        <v>4.6666666666666696</v>
      </c>
      <c r="I47" s="3">
        <v>2.7333333333333298</v>
      </c>
      <c r="J47" s="3">
        <v>2.5625</v>
      </c>
      <c r="K47" s="3">
        <v>2.04</v>
      </c>
      <c r="L47" s="3">
        <v>2.85</v>
      </c>
      <c r="M47" s="3">
        <v>4.5111111111111102</v>
      </c>
      <c r="N47" s="3">
        <v>2.93333333333333</v>
      </c>
      <c r="O47" s="3">
        <v>2.9375</v>
      </c>
      <c r="P47" s="3">
        <v>2.0299999999999998</v>
      </c>
      <c r="Q47" s="3">
        <v>2.125</v>
      </c>
      <c r="R47" s="3">
        <v>4.2555555555555502</v>
      </c>
      <c r="S47" s="3">
        <v>2.8222222222222202</v>
      </c>
      <c r="T47" s="3">
        <v>3.0750000000000002</v>
      </c>
      <c r="U47" s="3">
        <v>2.08</v>
      </c>
      <c r="V47" s="3">
        <v>3.75</v>
      </c>
      <c r="W47" s="3">
        <v>4.5111111111111102</v>
      </c>
      <c r="X47" s="3">
        <v>2.62222222222222</v>
      </c>
      <c r="Y47" s="3">
        <v>2.875</v>
      </c>
      <c r="Z47" s="3">
        <v>2.2799999999999998</v>
      </c>
      <c r="AA47" s="3">
        <v>3.9125000000000001</v>
      </c>
      <c r="AB47" s="3">
        <v>4.2222222222222197</v>
      </c>
      <c r="AC47" s="3">
        <v>2.8444444444444401</v>
      </c>
      <c r="AD47" s="3">
        <v>1.8875</v>
      </c>
      <c r="AE47" s="3">
        <v>2.33</v>
      </c>
    </row>
    <row r="48" spans="1:31" x14ac:dyDescent="0.2">
      <c r="A48" s="3">
        <v>43150</v>
      </c>
      <c r="B48" s="3">
        <v>3.38</v>
      </c>
      <c r="C48" s="3">
        <v>4.4400000000000004</v>
      </c>
      <c r="D48" s="3">
        <v>5</v>
      </c>
      <c r="E48" s="3">
        <v>3.25</v>
      </c>
      <c r="F48" s="3">
        <v>4.8</v>
      </c>
      <c r="G48" s="3">
        <v>2.2250000000000001</v>
      </c>
      <c r="H48" s="3">
        <v>2.9777777777777801</v>
      </c>
      <c r="I48" s="3">
        <v>2.62222222222222</v>
      </c>
      <c r="J48" s="3">
        <v>2.6124999999999998</v>
      </c>
      <c r="K48" s="3">
        <v>2.82</v>
      </c>
      <c r="L48" s="3">
        <v>2.0750000000000002</v>
      </c>
      <c r="M48" s="3">
        <v>3.24444444444444</v>
      </c>
      <c r="N48" s="3">
        <v>2.2000000000000002</v>
      </c>
      <c r="O48" s="3">
        <v>3.0125000000000002</v>
      </c>
      <c r="P48" s="3">
        <v>2.69</v>
      </c>
      <c r="Q48" s="3">
        <v>2.1375000000000002</v>
      </c>
      <c r="R48" s="3">
        <v>2.5888888888888899</v>
      </c>
      <c r="S48" s="3">
        <v>2.1444444444444399</v>
      </c>
      <c r="T48" s="3">
        <v>3.875</v>
      </c>
      <c r="U48" s="3">
        <v>2.7</v>
      </c>
      <c r="V48" s="3">
        <v>2.25</v>
      </c>
      <c r="W48" s="3">
        <v>2.5</v>
      </c>
      <c r="X48" s="3">
        <v>2.2333333333333298</v>
      </c>
      <c r="Y48" s="3">
        <v>3</v>
      </c>
      <c r="Z48" s="3">
        <v>3.21</v>
      </c>
      <c r="AA48" s="3">
        <v>2.4624999999999999</v>
      </c>
      <c r="AB48" s="3">
        <v>2.81111111111111</v>
      </c>
      <c r="AC48" s="3">
        <v>3.0222222222222199</v>
      </c>
      <c r="AD48" s="3">
        <v>3.8624999999999998</v>
      </c>
      <c r="AE48" s="3">
        <v>3.66</v>
      </c>
    </row>
    <row r="49" spans="1:31" x14ac:dyDescent="0.2">
      <c r="A49" s="3">
        <v>43972</v>
      </c>
      <c r="B49" s="3">
        <v>4.13</v>
      </c>
      <c r="C49" s="3">
        <v>4.4400000000000004</v>
      </c>
      <c r="D49" s="3">
        <v>4.67</v>
      </c>
      <c r="E49" s="3">
        <v>1.75</v>
      </c>
      <c r="F49" s="3">
        <v>3.8</v>
      </c>
      <c r="G49" s="3">
        <v>3.0125000000000002</v>
      </c>
      <c r="H49" s="3">
        <v>4.8444444444444503</v>
      </c>
      <c r="I49" s="3">
        <v>3.9777777777777801</v>
      </c>
      <c r="J49" s="3">
        <v>1.0249999999999999</v>
      </c>
      <c r="K49" s="3">
        <v>3.26</v>
      </c>
      <c r="L49" s="3">
        <v>2.4874999999999998</v>
      </c>
      <c r="M49" s="3">
        <v>4.3888888888888902</v>
      </c>
      <c r="N49" s="3">
        <v>3.8555555555555601</v>
      </c>
      <c r="O49" s="3">
        <v>1</v>
      </c>
      <c r="P49" s="3">
        <v>3.07</v>
      </c>
      <c r="Q49" s="3">
        <v>2.85</v>
      </c>
      <c r="R49" s="3">
        <v>4.1555555555555497</v>
      </c>
      <c r="S49" s="3">
        <v>3.1333333333333302</v>
      </c>
      <c r="T49" s="3">
        <v>1.8875</v>
      </c>
      <c r="U49" s="3">
        <v>3.11</v>
      </c>
      <c r="V49" s="3">
        <v>3</v>
      </c>
      <c r="W49" s="3">
        <v>4.6444444444444501</v>
      </c>
      <c r="X49" s="3">
        <v>3.6111111111111098</v>
      </c>
      <c r="Y49" s="3">
        <v>1.45</v>
      </c>
      <c r="Z49" s="3">
        <v>3.42</v>
      </c>
      <c r="AA49" s="3">
        <v>2.7124999999999999</v>
      </c>
      <c r="AB49" s="3">
        <v>4.3333333333333304</v>
      </c>
      <c r="AC49" s="3">
        <v>4.0999999999999996</v>
      </c>
      <c r="AD49" s="3">
        <v>1.9125000000000001</v>
      </c>
      <c r="AE49" s="3">
        <v>3.28</v>
      </c>
    </row>
    <row r="50" spans="1:31" x14ac:dyDescent="0.2">
      <c r="A50" s="3">
        <v>44375</v>
      </c>
      <c r="B50" s="3">
        <v>3.5</v>
      </c>
      <c r="C50" s="3">
        <v>4.67</v>
      </c>
      <c r="D50" s="3">
        <v>5</v>
      </c>
      <c r="E50" s="3">
        <v>1.5</v>
      </c>
      <c r="F50" s="3">
        <v>4.5</v>
      </c>
      <c r="G50" s="3">
        <v>3.3374999999999999</v>
      </c>
      <c r="H50" s="3">
        <v>4.93333333333333</v>
      </c>
      <c r="I50" s="3">
        <v>2.9</v>
      </c>
      <c r="J50" s="3">
        <v>2.1375000000000002</v>
      </c>
      <c r="K50" s="3">
        <v>2.75</v>
      </c>
      <c r="L50" s="3">
        <v>3.0625</v>
      </c>
      <c r="M50" s="3">
        <v>4.9555555555555602</v>
      </c>
      <c r="N50" s="3">
        <v>2.37777777777778</v>
      </c>
      <c r="O50" s="3">
        <v>1.6125</v>
      </c>
      <c r="P50" s="3">
        <v>2.77</v>
      </c>
      <c r="Q50" s="3">
        <v>2.1875</v>
      </c>
      <c r="R50" s="3">
        <v>4.1444444444444404</v>
      </c>
      <c r="S50" s="3">
        <v>2.6666666666666701</v>
      </c>
      <c r="T50" s="3">
        <v>1.9375</v>
      </c>
      <c r="U50" s="3">
        <v>2.13</v>
      </c>
      <c r="V50" s="3">
        <v>3.75</v>
      </c>
      <c r="W50" s="3">
        <v>4.9777777777777796</v>
      </c>
      <c r="X50" s="3">
        <v>2.2222222222222201</v>
      </c>
      <c r="Y50" s="3">
        <v>2.0125000000000002</v>
      </c>
      <c r="Z50" s="3">
        <v>2.82</v>
      </c>
      <c r="AA50" s="3">
        <v>3.95</v>
      </c>
      <c r="AB50" s="3">
        <v>4.4222222222222198</v>
      </c>
      <c r="AC50" s="3">
        <v>2.24444444444444</v>
      </c>
      <c r="AD50" s="3">
        <v>2.8</v>
      </c>
      <c r="AE50" s="3">
        <v>3.45</v>
      </c>
    </row>
    <row r="51" spans="1:31" x14ac:dyDescent="0.2">
      <c r="A51" s="3">
        <v>44380</v>
      </c>
      <c r="B51" s="3">
        <v>3.63</v>
      </c>
      <c r="C51" s="3">
        <v>4.5599999999999996</v>
      </c>
      <c r="D51" s="3">
        <v>4.78</v>
      </c>
      <c r="E51" s="3">
        <v>2</v>
      </c>
      <c r="F51" s="3">
        <v>4.2</v>
      </c>
      <c r="G51" s="3">
        <v>3.3624999999999998</v>
      </c>
      <c r="H51" s="3">
        <v>4.6333333333333302</v>
      </c>
      <c r="I51" s="3">
        <v>4.0888888888888903</v>
      </c>
      <c r="J51" s="3">
        <v>1.85</v>
      </c>
      <c r="K51" s="3">
        <v>2.58</v>
      </c>
      <c r="L51" s="3">
        <v>3.95</v>
      </c>
      <c r="M51" s="3">
        <v>4.6666666666666696</v>
      </c>
      <c r="N51" s="3">
        <v>4.2777777777777803</v>
      </c>
      <c r="O51" s="3">
        <v>1.8875</v>
      </c>
      <c r="P51" s="3">
        <v>2.96</v>
      </c>
      <c r="Q51" s="3">
        <v>3.5249999999999999</v>
      </c>
      <c r="R51" s="3">
        <v>4.18888888888889</v>
      </c>
      <c r="S51" s="3">
        <v>3.9</v>
      </c>
      <c r="T51" s="3">
        <v>2.15</v>
      </c>
      <c r="U51" s="3">
        <v>2.75</v>
      </c>
      <c r="V51" s="3">
        <v>3.8875000000000002</v>
      </c>
      <c r="W51" s="3">
        <v>4.6444444444444404</v>
      </c>
      <c r="X51" s="3">
        <v>4.0111111111111102</v>
      </c>
      <c r="Y51" s="3">
        <v>1.8</v>
      </c>
      <c r="Z51" s="3">
        <v>2.94</v>
      </c>
      <c r="AA51" s="3">
        <v>3.5874999999999999</v>
      </c>
      <c r="AB51" s="3">
        <v>4.2222222222222197</v>
      </c>
      <c r="AC51" s="3">
        <v>4.0222222222222204</v>
      </c>
      <c r="AD51" s="3">
        <v>2.8875000000000002</v>
      </c>
      <c r="AE51" s="3">
        <v>2.16</v>
      </c>
    </row>
    <row r="52" spans="1:31" x14ac:dyDescent="0.2">
      <c r="A52" s="3">
        <v>44542</v>
      </c>
      <c r="B52" s="3">
        <v>3.13</v>
      </c>
      <c r="C52" s="3">
        <v>3.78</v>
      </c>
      <c r="D52" s="3">
        <v>4.33</v>
      </c>
      <c r="E52" s="3">
        <v>1.5</v>
      </c>
      <c r="F52" s="3">
        <v>3.7</v>
      </c>
      <c r="G52" s="3">
        <v>3.2625000000000002</v>
      </c>
      <c r="H52" s="3">
        <v>4.4222222222222198</v>
      </c>
      <c r="I52" s="3">
        <v>2.1</v>
      </c>
      <c r="J52" s="3">
        <v>1.9</v>
      </c>
      <c r="K52" s="3">
        <v>2.98</v>
      </c>
      <c r="L52" s="3">
        <v>3.65</v>
      </c>
      <c r="M52" s="3">
        <v>4.4666666666666597</v>
      </c>
      <c r="N52" s="3">
        <v>2.0333333333333301</v>
      </c>
      <c r="O52" s="3">
        <v>1.75</v>
      </c>
      <c r="P52" s="3">
        <v>2.95</v>
      </c>
      <c r="Q52" s="3">
        <v>3.2749999999999999</v>
      </c>
      <c r="R52" s="3">
        <v>3.9111111111111101</v>
      </c>
      <c r="S52" s="3">
        <v>2.1</v>
      </c>
      <c r="T52" s="3">
        <v>1.8875</v>
      </c>
      <c r="U52" s="3">
        <v>2.42</v>
      </c>
      <c r="V52" s="3">
        <v>3.6</v>
      </c>
      <c r="W52" s="3">
        <v>4.3444444444444397</v>
      </c>
      <c r="X52" s="3">
        <v>1.8555555555555601</v>
      </c>
      <c r="Y52" s="3">
        <v>1.8875</v>
      </c>
      <c r="Z52" s="3">
        <v>2.95</v>
      </c>
      <c r="AA52" s="3">
        <v>4.2249999999999996</v>
      </c>
      <c r="AB52" s="3">
        <v>3.6555555555555599</v>
      </c>
      <c r="AC52" s="3">
        <v>1.94444444444444</v>
      </c>
      <c r="AD52" s="3">
        <v>1.8374999999999999</v>
      </c>
      <c r="AE52" s="3">
        <v>3.06</v>
      </c>
    </row>
    <row r="53" spans="1:31" x14ac:dyDescent="0.2">
      <c r="A53" s="3">
        <v>44960</v>
      </c>
      <c r="B53" s="3">
        <v>2.13</v>
      </c>
      <c r="C53" s="3">
        <v>3.89</v>
      </c>
      <c r="D53" s="3">
        <v>4.4400000000000004</v>
      </c>
      <c r="E53" s="3">
        <v>4</v>
      </c>
      <c r="F53" s="3">
        <v>3.9</v>
      </c>
      <c r="G53" s="3">
        <v>1.95</v>
      </c>
      <c r="H53" s="3">
        <v>3.2666666666666599</v>
      </c>
      <c r="I53" s="3">
        <v>4.0555555555555598</v>
      </c>
      <c r="J53" s="3">
        <v>2</v>
      </c>
      <c r="K53" s="3">
        <v>3.31</v>
      </c>
      <c r="L53" s="3">
        <v>2.3125</v>
      </c>
      <c r="M53" s="3">
        <v>3.4888888888888898</v>
      </c>
      <c r="N53" s="3">
        <v>4.0111111111111102</v>
      </c>
      <c r="O53" s="3">
        <v>2</v>
      </c>
      <c r="P53" s="3">
        <v>3.47</v>
      </c>
      <c r="Q53" s="3">
        <v>2.9249999999999998</v>
      </c>
      <c r="R53" s="3">
        <v>4.2777777777777803</v>
      </c>
      <c r="S53" s="3">
        <v>4</v>
      </c>
      <c r="T53" s="3">
        <v>1.8875</v>
      </c>
      <c r="U53" s="3">
        <v>3.88</v>
      </c>
      <c r="V53" s="3">
        <v>2.1749999999999998</v>
      </c>
      <c r="W53" s="3">
        <v>3.36666666666666</v>
      </c>
      <c r="X53" s="3">
        <v>4.0444444444444398</v>
      </c>
      <c r="Y53" s="3">
        <v>2.6</v>
      </c>
      <c r="Z53" s="3">
        <v>3.69</v>
      </c>
      <c r="AA53" s="3">
        <v>2.8875000000000002</v>
      </c>
      <c r="AB53" s="3">
        <v>3.9</v>
      </c>
      <c r="AC53" s="3">
        <v>3.75555555555556</v>
      </c>
      <c r="AD53" s="3">
        <v>1.925</v>
      </c>
      <c r="AE53" s="3">
        <v>4.33</v>
      </c>
    </row>
    <row r="54" spans="1:31" x14ac:dyDescent="0.2">
      <c r="A54" s="3">
        <v>45742</v>
      </c>
      <c r="B54" s="3">
        <v>4</v>
      </c>
      <c r="C54" s="3">
        <v>4.22</v>
      </c>
      <c r="D54" s="3">
        <v>4.8899999999999997</v>
      </c>
      <c r="E54" s="3">
        <v>1.75</v>
      </c>
      <c r="F54" s="3">
        <v>3.8</v>
      </c>
      <c r="G54" s="3">
        <v>3.2875000000000001</v>
      </c>
      <c r="H54" s="3">
        <v>4.4000000000000004</v>
      </c>
      <c r="I54" s="3">
        <v>3.9</v>
      </c>
      <c r="J54" s="3">
        <v>1.75</v>
      </c>
      <c r="K54" s="3">
        <v>3.99</v>
      </c>
      <c r="L54" s="3">
        <v>3</v>
      </c>
      <c r="M54" s="3">
        <v>4.4000000000000004</v>
      </c>
      <c r="N54" s="3">
        <v>3.43333333333333</v>
      </c>
      <c r="O54" s="3">
        <v>1.7875000000000001</v>
      </c>
      <c r="P54" s="3">
        <v>3.62</v>
      </c>
      <c r="Q54" s="3">
        <v>2.1124999999999998</v>
      </c>
      <c r="R54" s="3">
        <v>4.24444444444444</v>
      </c>
      <c r="S54" s="3">
        <v>2.8444444444444499</v>
      </c>
      <c r="T54" s="3">
        <v>1.95</v>
      </c>
      <c r="U54" s="3">
        <v>3.56</v>
      </c>
      <c r="V54" s="3">
        <v>3.6124999999999998</v>
      </c>
      <c r="W54" s="3">
        <v>4.3888888888888902</v>
      </c>
      <c r="X54" s="3">
        <v>3.5222222222222199</v>
      </c>
      <c r="Y54" s="3">
        <v>1.8625</v>
      </c>
      <c r="Z54" s="3">
        <v>3.88</v>
      </c>
      <c r="AA54" s="3">
        <v>3.75</v>
      </c>
      <c r="AB54" s="3">
        <v>4.2666666666666604</v>
      </c>
      <c r="AC54" s="3">
        <v>4</v>
      </c>
      <c r="AD54" s="3">
        <v>1.875</v>
      </c>
      <c r="AE54" s="3">
        <v>3.86</v>
      </c>
    </row>
    <row r="55" spans="1:31" x14ac:dyDescent="0.2">
      <c r="A55" s="3">
        <v>48989</v>
      </c>
      <c r="B55" s="3">
        <v>1.25</v>
      </c>
      <c r="C55" s="3">
        <v>4.67</v>
      </c>
      <c r="D55" s="3">
        <v>4.5599999999999996</v>
      </c>
      <c r="E55" s="3">
        <v>1.63</v>
      </c>
      <c r="F55" s="3">
        <v>2.5</v>
      </c>
      <c r="G55" s="3">
        <v>2.0874999999999999</v>
      </c>
      <c r="H55" s="3">
        <v>3.4555555555555499</v>
      </c>
      <c r="I55" s="3">
        <v>3.8</v>
      </c>
      <c r="J55" s="3">
        <v>2.0499999999999998</v>
      </c>
      <c r="K55" s="3">
        <v>2.15</v>
      </c>
      <c r="L55" s="3">
        <v>2.0750000000000002</v>
      </c>
      <c r="M55" s="3">
        <v>3.4111111111111101</v>
      </c>
      <c r="N55" s="3">
        <v>3.94444444444445</v>
      </c>
      <c r="O55" s="3">
        <v>2.1375000000000002</v>
      </c>
      <c r="P55" s="3">
        <v>2.08</v>
      </c>
      <c r="Q55" s="3">
        <v>2</v>
      </c>
      <c r="R55" s="3">
        <v>3.4444444444444402</v>
      </c>
      <c r="S55" s="3">
        <v>3.2222222222222201</v>
      </c>
      <c r="T55" s="3">
        <v>2.9874999999999998</v>
      </c>
      <c r="U55" s="3">
        <v>2.29</v>
      </c>
      <c r="V55" s="3">
        <v>2.85</v>
      </c>
      <c r="W55" s="3">
        <v>3.7333333333333401</v>
      </c>
      <c r="X55" s="3">
        <v>3.3333333333333299</v>
      </c>
      <c r="Y55" s="3">
        <v>2</v>
      </c>
      <c r="Z55" s="3">
        <v>2.33</v>
      </c>
      <c r="AA55" s="3">
        <v>2.875</v>
      </c>
      <c r="AB55" s="3">
        <v>3.1111111111111098</v>
      </c>
      <c r="AC55" s="3">
        <v>3.4666666666666699</v>
      </c>
      <c r="AD55" s="3">
        <v>2.7250000000000001</v>
      </c>
      <c r="AE55" s="3">
        <v>2.66</v>
      </c>
    </row>
    <row r="56" spans="1:31" x14ac:dyDescent="0.2">
      <c r="A56" s="3">
        <v>49426</v>
      </c>
      <c r="B56" s="3">
        <v>1.25</v>
      </c>
      <c r="C56" s="3">
        <v>3.44</v>
      </c>
      <c r="D56" s="3">
        <v>2.33</v>
      </c>
      <c r="E56" s="3">
        <v>5</v>
      </c>
      <c r="F56" s="3">
        <v>3.9</v>
      </c>
      <c r="G56" s="3">
        <v>3.1749999999999998</v>
      </c>
      <c r="H56" s="3">
        <v>3.18888888888889</v>
      </c>
      <c r="I56" s="3">
        <v>1.5777777777777799</v>
      </c>
      <c r="J56" s="3">
        <v>3.9</v>
      </c>
      <c r="K56" s="3">
        <v>3.95</v>
      </c>
      <c r="L56" s="3">
        <v>3.25</v>
      </c>
      <c r="M56" s="3">
        <v>3.18888888888889</v>
      </c>
      <c r="N56" s="3">
        <v>1.8444444444444501</v>
      </c>
      <c r="O56" s="3">
        <v>3.8</v>
      </c>
      <c r="P56" s="3">
        <v>4.05</v>
      </c>
      <c r="Q56" s="3">
        <v>2.8875000000000002</v>
      </c>
      <c r="R56" s="3">
        <v>3.63333333333334</v>
      </c>
      <c r="S56" s="3">
        <v>2.0444444444444398</v>
      </c>
      <c r="T56" s="3">
        <v>3.6875</v>
      </c>
      <c r="U56" s="3">
        <v>3.03</v>
      </c>
      <c r="V56" s="3">
        <v>3.1875</v>
      </c>
      <c r="W56" s="3">
        <v>3.4777777777777801</v>
      </c>
      <c r="X56" s="3">
        <v>1.5444444444444501</v>
      </c>
      <c r="Y56" s="3">
        <v>3.9624999999999999</v>
      </c>
      <c r="Z56" s="3">
        <v>3.85</v>
      </c>
      <c r="AA56" s="3">
        <v>2.9874999999999998</v>
      </c>
      <c r="AB56" s="3">
        <v>3.2</v>
      </c>
      <c r="AC56" s="3">
        <v>2.7777777777777799</v>
      </c>
      <c r="AD56" s="3">
        <v>3.6875</v>
      </c>
      <c r="AE56" s="3">
        <v>3.02</v>
      </c>
    </row>
    <row r="57" spans="1:31" x14ac:dyDescent="0.2">
      <c r="A57" s="3">
        <v>52256</v>
      </c>
      <c r="B57" s="3">
        <v>1.88</v>
      </c>
      <c r="C57" s="3">
        <v>2.78</v>
      </c>
      <c r="D57" s="3">
        <v>3.44</v>
      </c>
      <c r="E57" s="3">
        <v>2.63</v>
      </c>
      <c r="F57" s="3">
        <v>4.3</v>
      </c>
      <c r="G57" s="3">
        <v>2.1875</v>
      </c>
      <c r="H57" s="3">
        <v>3</v>
      </c>
      <c r="I57" s="3">
        <v>3.87777777777778</v>
      </c>
      <c r="J57" s="3">
        <v>1.2875000000000001</v>
      </c>
      <c r="K57" s="3">
        <v>3.61</v>
      </c>
      <c r="L57" s="3">
        <v>2.35</v>
      </c>
      <c r="M57" s="3">
        <v>2.87777777777778</v>
      </c>
      <c r="N57" s="3">
        <v>4.0222222222222204</v>
      </c>
      <c r="O57" s="3">
        <v>1.2875000000000001</v>
      </c>
      <c r="P57" s="3">
        <v>3.65</v>
      </c>
      <c r="Q57" s="3">
        <v>2.35</v>
      </c>
      <c r="R57" s="3">
        <v>3</v>
      </c>
      <c r="S57" s="3">
        <v>2.9444444444444402</v>
      </c>
      <c r="T57" s="3">
        <v>2</v>
      </c>
      <c r="U57" s="3">
        <v>3.51</v>
      </c>
      <c r="V57" s="3">
        <v>2.25</v>
      </c>
      <c r="W57" s="3">
        <v>2.6555555555555599</v>
      </c>
      <c r="X57" s="3">
        <v>3.4777777777777801</v>
      </c>
      <c r="Y57" s="3">
        <v>1.4875</v>
      </c>
      <c r="Z57" s="3">
        <v>3.39</v>
      </c>
      <c r="AA57" s="3">
        <v>3.2875000000000001</v>
      </c>
      <c r="AB57" s="3">
        <v>2.7333333333333401</v>
      </c>
      <c r="AC57" s="3">
        <v>2.4666666666666699</v>
      </c>
      <c r="AD57" s="3">
        <v>1.8625</v>
      </c>
      <c r="AE57" s="3">
        <v>2.84</v>
      </c>
    </row>
    <row r="58" spans="1:31" x14ac:dyDescent="0.2">
      <c r="A58" s="3">
        <v>53009</v>
      </c>
      <c r="B58" s="3">
        <v>1.25</v>
      </c>
      <c r="C58" s="3">
        <v>3.78</v>
      </c>
      <c r="D58" s="3">
        <v>4</v>
      </c>
      <c r="E58" s="3">
        <v>4.75</v>
      </c>
      <c r="F58" s="3">
        <v>3.8</v>
      </c>
      <c r="G58" s="3">
        <v>2.0249999999999999</v>
      </c>
      <c r="H58" s="3">
        <v>3.8222222222222202</v>
      </c>
      <c r="I58" s="3">
        <v>3.9888888888888898</v>
      </c>
      <c r="J58" s="3">
        <v>2.875</v>
      </c>
      <c r="K58" s="3">
        <v>2.34</v>
      </c>
      <c r="L58" s="3">
        <v>2.3125</v>
      </c>
      <c r="M58" s="3">
        <v>3.8666666666666698</v>
      </c>
      <c r="N58" s="3">
        <v>3.5</v>
      </c>
      <c r="O58" s="3">
        <v>2.25</v>
      </c>
      <c r="P58" s="3">
        <v>2.7</v>
      </c>
      <c r="Q58" s="3">
        <v>2.35</v>
      </c>
      <c r="R58" s="3">
        <v>4.0444444444444398</v>
      </c>
      <c r="S58" s="3">
        <v>3.0333333333333301</v>
      </c>
      <c r="T58" s="3">
        <v>1.95</v>
      </c>
      <c r="U58" s="3">
        <v>2.97</v>
      </c>
      <c r="V58" s="3">
        <v>1.925</v>
      </c>
      <c r="W58" s="3">
        <v>3.7</v>
      </c>
      <c r="X58" s="3">
        <v>3.81111111111111</v>
      </c>
      <c r="Y58" s="3">
        <v>2.8374999999999999</v>
      </c>
      <c r="Z58" s="3">
        <v>2.39</v>
      </c>
      <c r="AA58" s="3">
        <v>2.5874999999999999</v>
      </c>
      <c r="AB58" s="3">
        <v>3.87777777777778</v>
      </c>
      <c r="AC58" s="3">
        <v>3.81111111111111</v>
      </c>
      <c r="AD58" s="3">
        <v>2.6749999999999998</v>
      </c>
      <c r="AE58" s="3">
        <v>2.73</v>
      </c>
    </row>
    <row r="59" spans="1:31" x14ac:dyDescent="0.2">
      <c r="A59" s="3">
        <v>53595</v>
      </c>
      <c r="B59" s="3">
        <v>1.25</v>
      </c>
      <c r="C59" s="3">
        <v>4.22</v>
      </c>
      <c r="D59" s="3">
        <v>4.4400000000000004</v>
      </c>
      <c r="E59" s="3">
        <v>4.38</v>
      </c>
      <c r="F59" s="3">
        <v>4.2</v>
      </c>
      <c r="G59" s="3">
        <v>2.9125000000000001</v>
      </c>
      <c r="H59" s="3">
        <v>4.24444444444444</v>
      </c>
      <c r="I59" s="3">
        <v>3.2</v>
      </c>
      <c r="J59" s="3">
        <v>2.8250000000000002</v>
      </c>
      <c r="K59" s="3">
        <v>3.29</v>
      </c>
      <c r="L59" s="3">
        <v>2.875</v>
      </c>
      <c r="M59" s="3">
        <v>4.2666666666666604</v>
      </c>
      <c r="N59" s="3">
        <v>3.1111111111111098</v>
      </c>
      <c r="O59" s="3">
        <v>3.05</v>
      </c>
      <c r="P59" s="3">
        <v>3.43</v>
      </c>
      <c r="Q59" s="3">
        <v>2.5</v>
      </c>
      <c r="R59" s="3">
        <v>4.1444444444444404</v>
      </c>
      <c r="S59" s="3">
        <v>3.05555555555555</v>
      </c>
      <c r="T59" s="3">
        <v>2.9249999999999998</v>
      </c>
      <c r="U59" s="3">
        <v>2.31</v>
      </c>
      <c r="V59" s="3">
        <v>3.6375000000000002</v>
      </c>
      <c r="W59" s="3">
        <v>4.2222222222222197</v>
      </c>
      <c r="X59" s="3">
        <v>3.1111111111111098</v>
      </c>
      <c r="Y59" s="3">
        <v>2.9249999999999998</v>
      </c>
      <c r="Z59" s="3">
        <v>3.56</v>
      </c>
      <c r="AA59" s="3">
        <v>3.375</v>
      </c>
      <c r="AB59" s="3">
        <v>4.1777777777777798</v>
      </c>
      <c r="AC59" s="3">
        <v>3.1111111111111098</v>
      </c>
      <c r="AD59" s="3">
        <v>2.6124999999999998</v>
      </c>
      <c r="AE59" s="3">
        <v>3.26</v>
      </c>
    </row>
    <row r="60" spans="1:31" x14ac:dyDescent="0.2">
      <c r="A60" s="3">
        <v>53623</v>
      </c>
      <c r="B60" s="3">
        <v>1</v>
      </c>
      <c r="C60" s="3">
        <v>3.89</v>
      </c>
      <c r="D60" s="3">
        <v>3.78</v>
      </c>
      <c r="E60" s="3">
        <v>4.13</v>
      </c>
      <c r="F60" s="3">
        <v>4</v>
      </c>
      <c r="G60" s="3">
        <v>2.6749999999999998</v>
      </c>
      <c r="H60" s="3">
        <v>3.5444444444444501</v>
      </c>
      <c r="I60" s="3">
        <v>2.0777777777777802</v>
      </c>
      <c r="J60" s="3">
        <v>2.1</v>
      </c>
      <c r="K60" s="3">
        <v>3.89</v>
      </c>
      <c r="L60" s="3">
        <v>2.4</v>
      </c>
      <c r="M60" s="3">
        <v>3.6111111111111098</v>
      </c>
      <c r="N60" s="3">
        <v>2.05555555555555</v>
      </c>
      <c r="O60" s="3">
        <v>2.4</v>
      </c>
      <c r="P60" s="3">
        <v>3.28</v>
      </c>
      <c r="Q60" s="3">
        <v>3.1625000000000001</v>
      </c>
      <c r="R60" s="3">
        <v>3.87777777777778</v>
      </c>
      <c r="S60" s="3">
        <v>2.1111111111111098</v>
      </c>
      <c r="T60" s="3">
        <v>1.8875</v>
      </c>
      <c r="U60" s="3">
        <v>3.15</v>
      </c>
      <c r="V60" s="3">
        <v>3.75</v>
      </c>
      <c r="W60" s="3">
        <v>3.7777777777777799</v>
      </c>
      <c r="X60" s="3">
        <v>2.1333333333333302</v>
      </c>
      <c r="Y60" s="3">
        <v>2.1124999999999998</v>
      </c>
      <c r="Z60" s="3">
        <v>4.21</v>
      </c>
      <c r="AA60" s="3">
        <v>3.85</v>
      </c>
      <c r="AB60" s="3">
        <v>4.36666666666666</v>
      </c>
      <c r="AC60" s="3">
        <v>2.2000000000000002</v>
      </c>
      <c r="AD60" s="3">
        <v>2.3875000000000002</v>
      </c>
      <c r="AE60" s="3">
        <v>3.8</v>
      </c>
    </row>
    <row r="61" spans="1:31" x14ac:dyDescent="0.2">
      <c r="A61" s="3">
        <v>53752</v>
      </c>
      <c r="B61" s="3">
        <v>3.63</v>
      </c>
      <c r="C61" s="3">
        <v>4.33</v>
      </c>
      <c r="D61" s="3">
        <v>3.89</v>
      </c>
      <c r="E61" s="3">
        <v>3.88</v>
      </c>
      <c r="F61" s="3">
        <v>4</v>
      </c>
      <c r="G61" s="3">
        <v>3.3</v>
      </c>
      <c r="H61" s="3">
        <v>4.2666666666666604</v>
      </c>
      <c r="I61" s="3">
        <v>4.7</v>
      </c>
      <c r="J61" s="3">
        <v>3.1</v>
      </c>
      <c r="K61" s="3">
        <v>3.14</v>
      </c>
      <c r="L61" s="3">
        <v>3</v>
      </c>
      <c r="M61" s="3">
        <v>4.2</v>
      </c>
      <c r="N61" s="3">
        <v>4.7777777777777803</v>
      </c>
      <c r="O61" s="3">
        <v>3.3624999999999998</v>
      </c>
      <c r="P61" s="3">
        <v>3.04</v>
      </c>
      <c r="Q61" s="3">
        <v>2.9624999999999999</v>
      </c>
      <c r="R61" s="3">
        <v>4.2111111111111104</v>
      </c>
      <c r="S61" s="3">
        <v>4.8888888888888902</v>
      </c>
      <c r="T61" s="3">
        <v>3.3875000000000002</v>
      </c>
      <c r="U61" s="3">
        <v>2.69</v>
      </c>
      <c r="V61" s="3">
        <v>3.9</v>
      </c>
      <c r="W61" s="3">
        <v>4.3444444444444397</v>
      </c>
      <c r="X61" s="3">
        <v>4.5222222222222204</v>
      </c>
      <c r="Y61" s="3">
        <v>2.9750000000000001</v>
      </c>
      <c r="Z61" s="3">
        <v>3.19</v>
      </c>
      <c r="AA61" s="3">
        <v>3.4750000000000001</v>
      </c>
      <c r="AB61" s="3">
        <v>4.1777777777777798</v>
      </c>
      <c r="AC61" s="3">
        <v>4.1444444444444404</v>
      </c>
      <c r="AD61" s="3">
        <v>3.6</v>
      </c>
      <c r="AE61" s="3">
        <v>3.09</v>
      </c>
    </row>
    <row r="62" spans="1:31" x14ac:dyDescent="0.2">
      <c r="A62" s="3">
        <v>53791</v>
      </c>
      <c r="B62" s="3">
        <v>3.38</v>
      </c>
      <c r="C62" s="3">
        <v>5</v>
      </c>
      <c r="D62" s="3">
        <v>5</v>
      </c>
      <c r="E62" s="3">
        <v>1</v>
      </c>
      <c r="F62" s="3">
        <v>4.2</v>
      </c>
      <c r="G62" s="3">
        <v>4.9625000000000004</v>
      </c>
      <c r="H62" s="3">
        <v>2.9111111111111101</v>
      </c>
      <c r="I62" s="3">
        <v>2.1555555555555501</v>
      </c>
      <c r="J62" s="3">
        <v>1.1625000000000001</v>
      </c>
      <c r="K62" s="3">
        <v>2.57</v>
      </c>
      <c r="L62" s="3">
        <v>4.2</v>
      </c>
      <c r="M62" s="3">
        <v>3.4444444444444402</v>
      </c>
      <c r="N62" s="3">
        <v>2.1444444444444399</v>
      </c>
      <c r="O62" s="3">
        <v>1.125</v>
      </c>
      <c r="P62" s="3">
        <v>2.85</v>
      </c>
      <c r="Q62" s="3">
        <v>4.0125000000000002</v>
      </c>
      <c r="R62" s="3">
        <v>3.1555555555555501</v>
      </c>
      <c r="S62" s="3">
        <v>2.1444444444444399</v>
      </c>
      <c r="T62" s="3">
        <v>1.325</v>
      </c>
      <c r="U62" s="3">
        <v>2.84</v>
      </c>
      <c r="V62" s="3">
        <v>5</v>
      </c>
      <c r="W62" s="3">
        <v>2.81111111111111</v>
      </c>
      <c r="X62" s="3">
        <v>2.1333333333333302</v>
      </c>
      <c r="Y62" s="3">
        <v>1.2749999999999999</v>
      </c>
      <c r="Z62" s="3">
        <v>2.57</v>
      </c>
      <c r="AA62" s="3">
        <v>4.9625000000000004</v>
      </c>
      <c r="AB62" s="3">
        <v>2.7333333333333401</v>
      </c>
      <c r="AC62" s="3">
        <v>2.1333333333333302</v>
      </c>
      <c r="AD62" s="3">
        <v>2.9750000000000001</v>
      </c>
      <c r="AE62" s="3">
        <v>2.2599999999999998</v>
      </c>
    </row>
    <row r="63" spans="1:31" x14ac:dyDescent="0.2">
      <c r="A63" s="3">
        <v>54018</v>
      </c>
      <c r="B63" s="3">
        <v>3.13</v>
      </c>
      <c r="C63" s="3">
        <v>4.5599999999999996</v>
      </c>
      <c r="D63" s="3">
        <v>4.33</v>
      </c>
      <c r="E63" s="3">
        <v>1.25</v>
      </c>
      <c r="F63" s="3">
        <v>4.2</v>
      </c>
      <c r="G63" s="3">
        <v>2.25</v>
      </c>
      <c r="H63" s="3">
        <v>2.6</v>
      </c>
      <c r="I63" s="3">
        <v>3.0333333333333301</v>
      </c>
      <c r="J63" s="3">
        <v>1.3625</v>
      </c>
      <c r="K63" s="3">
        <v>2.42</v>
      </c>
      <c r="L63" s="3">
        <v>2.25</v>
      </c>
      <c r="M63" s="3">
        <v>3.1333333333333302</v>
      </c>
      <c r="N63" s="3">
        <v>3.0111111111111102</v>
      </c>
      <c r="O63" s="3">
        <v>2</v>
      </c>
      <c r="P63" s="3">
        <v>2.67</v>
      </c>
      <c r="Q63" s="3">
        <v>2.1875</v>
      </c>
      <c r="R63" s="3">
        <v>3.3444444444444401</v>
      </c>
      <c r="S63" s="3">
        <v>2.93333333333333</v>
      </c>
      <c r="T63" s="3">
        <v>1.7124999999999999</v>
      </c>
      <c r="U63" s="3">
        <v>2.77</v>
      </c>
      <c r="V63" s="3">
        <v>2.6</v>
      </c>
      <c r="W63" s="3">
        <v>2.4777777777777801</v>
      </c>
      <c r="X63" s="3">
        <v>2.93333333333333</v>
      </c>
      <c r="Y63" s="3">
        <v>1.8</v>
      </c>
      <c r="Z63" s="3">
        <v>2.88</v>
      </c>
      <c r="AA63" s="3">
        <v>2.6124999999999998</v>
      </c>
      <c r="AB63" s="3">
        <v>2.43333333333333</v>
      </c>
      <c r="AC63" s="3">
        <v>2.4777777777777801</v>
      </c>
      <c r="AD63" s="3">
        <v>2.5874999999999999</v>
      </c>
      <c r="AE63" s="3">
        <v>3.08</v>
      </c>
    </row>
    <row r="64" spans="1:31" x14ac:dyDescent="0.2">
      <c r="A64" s="3">
        <v>55131</v>
      </c>
      <c r="B64" s="3">
        <v>4.38</v>
      </c>
      <c r="C64" s="3">
        <v>4.8899999999999997</v>
      </c>
      <c r="D64" s="3">
        <v>5</v>
      </c>
      <c r="E64" s="3">
        <v>1.1299999999999999</v>
      </c>
      <c r="F64" s="3">
        <v>4.7</v>
      </c>
      <c r="G64" s="3">
        <v>3.9624999999999999</v>
      </c>
      <c r="H64" s="3">
        <v>3.8888888888888902</v>
      </c>
      <c r="I64" s="3">
        <v>2.9666666666666699</v>
      </c>
      <c r="J64" s="3">
        <v>1.4125000000000001</v>
      </c>
      <c r="K64" s="3">
        <v>3.6</v>
      </c>
      <c r="L64" s="3">
        <v>3.3</v>
      </c>
      <c r="M64" s="3">
        <v>3.5777777777777802</v>
      </c>
      <c r="N64" s="3">
        <v>2.4888888888888898</v>
      </c>
      <c r="O64" s="3">
        <v>1.7</v>
      </c>
      <c r="P64" s="3">
        <v>3.6</v>
      </c>
      <c r="Q64" s="3">
        <v>3.5750000000000002</v>
      </c>
      <c r="R64" s="3">
        <v>3.4888888888888898</v>
      </c>
      <c r="S64" s="3">
        <v>2.2000000000000002</v>
      </c>
      <c r="T64" s="3">
        <v>2.0125000000000002</v>
      </c>
      <c r="U64" s="3">
        <v>3.69</v>
      </c>
      <c r="V64" s="3">
        <v>4.6375000000000002</v>
      </c>
      <c r="W64" s="3">
        <v>4.2222222222222197</v>
      </c>
      <c r="X64" s="3">
        <v>2.5222222222222199</v>
      </c>
      <c r="Y64" s="3">
        <v>1.45</v>
      </c>
      <c r="Z64" s="3">
        <v>3.78</v>
      </c>
      <c r="AA64" s="3">
        <v>3.45</v>
      </c>
      <c r="AB64" s="3">
        <v>3.6666666666666701</v>
      </c>
      <c r="AC64" s="3">
        <v>3.06666666666667</v>
      </c>
      <c r="AD64" s="3">
        <v>1.9125000000000001</v>
      </c>
      <c r="AE64" s="3">
        <v>3.79</v>
      </c>
    </row>
    <row r="65" spans="1:31" x14ac:dyDescent="0.2">
      <c r="A65" s="3">
        <v>55894</v>
      </c>
      <c r="B65" s="3">
        <v>2.25</v>
      </c>
      <c r="C65" s="3">
        <v>3.56</v>
      </c>
      <c r="D65" s="3">
        <v>3.44</v>
      </c>
      <c r="E65" s="3">
        <v>4.13</v>
      </c>
      <c r="F65" s="3">
        <v>1.6</v>
      </c>
      <c r="G65" s="3">
        <v>2.9874999999999998</v>
      </c>
      <c r="H65" s="3">
        <v>4.0444444444444398</v>
      </c>
      <c r="I65" s="3">
        <v>4.0777777777777802</v>
      </c>
      <c r="J65" s="3">
        <v>2.4125000000000001</v>
      </c>
      <c r="K65" s="3">
        <v>2.31</v>
      </c>
      <c r="L65" s="3">
        <v>2.9624999999999999</v>
      </c>
      <c r="M65" s="3">
        <v>3.94444444444445</v>
      </c>
      <c r="N65" s="3">
        <v>3.9</v>
      </c>
      <c r="O65" s="3">
        <v>2.0625</v>
      </c>
      <c r="P65" s="3">
        <v>2.29</v>
      </c>
      <c r="Q65" s="3">
        <v>2.9</v>
      </c>
      <c r="R65" s="3">
        <v>4.24444444444444</v>
      </c>
      <c r="S65" s="3">
        <v>3</v>
      </c>
      <c r="T65" s="3">
        <v>2</v>
      </c>
      <c r="U65" s="3">
        <v>2.1</v>
      </c>
      <c r="V65" s="3">
        <v>3.4750000000000001</v>
      </c>
      <c r="W65" s="3">
        <v>3.9111111111111101</v>
      </c>
      <c r="X65" s="3">
        <v>4.0222222222222204</v>
      </c>
      <c r="Y65" s="3">
        <v>2.6375000000000002</v>
      </c>
      <c r="Z65" s="3">
        <v>2.64</v>
      </c>
      <c r="AA65" s="3">
        <v>3.7875000000000001</v>
      </c>
      <c r="AB65" s="3">
        <v>3.5111111111111102</v>
      </c>
      <c r="AC65" s="3">
        <v>3.6111111111111098</v>
      </c>
      <c r="AD65" s="3">
        <v>3.85</v>
      </c>
      <c r="AE65" s="3">
        <v>2.88</v>
      </c>
    </row>
    <row r="66" spans="1:31" x14ac:dyDescent="0.2">
      <c r="A66" s="3">
        <v>57332</v>
      </c>
      <c r="B66" s="3">
        <v>3.75</v>
      </c>
      <c r="C66" s="3">
        <v>4.5599999999999996</v>
      </c>
      <c r="D66" s="3">
        <v>4.22</v>
      </c>
      <c r="E66" s="3">
        <v>1.5</v>
      </c>
      <c r="F66" s="3">
        <v>3.9</v>
      </c>
      <c r="G66" s="3">
        <v>3.95</v>
      </c>
      <c r="H66" s="3">
        <v>3.56666666666667</v>
      </c>
      <c r="I66" s="3">
        <v>1.9666666666666699</v>
      </c>
      <c r="J66" s="3">
        <v>1.25</v>
      </c>
      <c r="K66" s="3">
        <v>2.14</v>
      </c>
      <c r="L66" s="3">
        <v>3.9375</v>
      </c>
      <c r="M66" s="3">
        <v>3.9222222222222198</v>
      </c>
      <c r="N66" s="3">
        <v>1.86666666666667</v>
      </c>
      <c r="O66" s="3">
        <v>1.2124999999999999</v>
      </c>
      <c r="P66" s="3">
        <v>2.13</v>
      </c>
      <c r="Q66" s="3">
        <v>3.65</v>
      </c>
      <c r="R66" s="3">
        <v>3.3</v>
      </c>
      <c r="S66" s="3">
        <v>1.82222222222222</v>
      </c>
      <c r="T66" s="3">
        <v>1.1875</v>
      </c>
      <c r="U66" s="3">
        <v>2.06</v>
      </c>
      <c r="V66" s="3">
        <v>4.3875000000000002</v>
      </c>
      <c r="W66" s="3">
        <v>3.9555555555555602</v>
      </c>
      <c r="X66" s="3">
        <v>1.8444444444444501</v>
      </c>
      <c r="Y66" s="3">
        <v>1.3625</v>
      </c>
      <c r="Z66" s="3">
        <v>2.38</v>
      </c>
      <c r="AA66" s="3">
        <v>4.5</v>
      </c>
      <c r="AB66" s="3">
        <v>3.3</v>
      </c>
      <c r="AC66" s="3">
        <v>1.8333333333333399</v>
      </c>
      <c r="AD66" s="3">
        <v>1.55</v>
      </c>
      <c r="AE66" s="3">
        <v>1.92</v>
      </c>
    </row>
    <row r="67" spans="1:31" x14ac:dyDescent="0.2">
      <c r="A67" s="3">
        <v>59662</v>
      </c>
      <c r="B67" s="3">
        <v>3.38</v>
      </c>
      <c r="C67" s="3">
        <v>4.5599999999999996</v>
      </c>
      <c r="D67" s="3">
        <v>3.22</v>
      </c>
      <c r="E67" s="3">
        <v>4.38</v>
      </c>
      <c r="F67" s="3">
        <v>3.4</v>
      </c>
      <c r="G67" s="3">
        <v>2.9375</v>
      </c>
      <c r="H67" s="3">
        <v>4.8333333333333401</v>
      </c>
      <c r="I67" s="3">
        <v>3.9111111111111101</v>
      </c>
      <c r="J67" s="3">
        <v>2.9</v>
      </c>
      <c r="K67" s="3">
        <v>2.73</v>
      </c>
      <c r="L67" s="3">
        <v>2.75</v>
      </c>
      <c r="M67" s="3">
        <v>4.7333333333333298</v>
      </c>
      <c r="N67" s="3">
        <v>3.7</v>
      </c>
      <c r="O67" s="3">
        <v>2.8875000000000002</v>
      </c>
      <c r="P67" s="3">
        <v>2.65</v>
      </c>
      <c r="Q67" s="3">
        <v>2.75</v>
      </c>
      <c r="R67" s="3">
        <v>4.4444444444444402</v>
      </c>
      <c r="S67" s="3">
        <v>3.6444444444444501</v>
      </c>
      <c r="T67" s="3">
        <v>3.0625</v>
      </c>
      <c r="U67" s="3">
        <v>2.25</v>
      </c>
      <c r="V67" s="3">
        <v>3.2374999999999998</v>
      </c>
      <c r="W67" s="3">
        <v>4.5888888888888903</v>
      </c>
      <c r="X67" s="3">
        <v>3.9</v>
      </c>
      <c r="Y67" s="3">
        <v>2.8875000000000002</v>
      </c>
      <c r="Z67" s="3">
        <v>2.81</v>
      </c>
      <c r="AA67" s="3">
        <v>3.6875</v>
      </c>
      <c r="AB67" s="3">
        <v>4.7777777777777803</v>
      </c>
      <c r="AC67" s="3">
        <v>3.8555555555555601</v>
      </c>
      <c r="AD67" s="3">
        <v>2.5499999999999998</v>
      </c>
      <c r="AE67" s="3">
        <v>3.19</v>
      </c>
    </row>
    <row r="68" spans="1:31" x14ac:dyDescent="0.2">
      <c r="A68" s="3">
        <v>63408</v>
      </c>
      <c r="B68" s="3">
        <v>1.88</v>
      </c>
      <c r="C68" s="3">
        <v>3.67</v>
      </c>
      <c r="D68" s="3">
        <v>3.89</v>
      </c>
      <c r="E68" s="3">
        <v>2.5</v>
      </c>
      <c r="F68" s="3">
        <v>3.9</v>
      </c>
      <c r="G68" s="3">
        <v>4.7625000000000002</v>
      </c>
      <c r="H68" s="3">
        <v>4.3444444444444397</v>
      </c>
      <c r="I68" s="3">
        <v>3.9222222222222198</v>
      </c>
      <c r="J68" s="3">
        <v>1.5375000000000001</v>
      </c>
      <c r="K68" s="3">
        <v>4.8</v>
      </c>
      <c r="L68" s="3">
        <v>4.6875</v>
      </c>
      <c r="M68" s="3">
        <v>4.3444444444444397</v>
      </c>
      <c r="N68" s="3">
        <v>3.81111111111111</v>
      </c>
      <c r="O68" s="3">
        <v>1.8374999999999999</v>
      </c>
      <c r="P68" s="3">
        <v>4.62</v>
      </c>
      <c r="Q68" s="3">
        <v>3.95</v>
      </c>
      <c r="R68" s="3">
        <v>4.2666666666666604</v>
      </c>
      <c r="S68" s="3">
        <v>3.8888888888888902</v>
      </c>
      <c r="T68" s="3">
        <v>1.9375</v>
      </c>
      <c r="U68" s="3">
        <v>4.63</v>
      </c>
      <c r="V68" s="3">
        <v>4.75</v>
      </c>
      <c r="W68" s="3">
        <v>4.3555555555555499</v>
      </c>
      <c r="X68" s="3">
        <v>3.62222222222222</v>
      </c>
      <c r="Y68" s="3">
        <v>1.8125</v>
      </c>
      <c r="Z68" s="3">
        <v>4.8</v>
      </c>
      <c r="AA68" s="3">
        <v>3.6124999999999998</v>
      </c>
      <c r="AB68" s="3">
        <v>3.81111111111111</v>
      </c>
      <c r="AC68" s="3">
        <v>3.12222222222222</v>
      </c>
      <c r="AD68" s="3">
        <v>2.85</v>
      </c>
      <c r="AE68" s="3">
        <v>4.3899999999999997</v>
      </c>
    </row>
    <row r="69" spans="1:31" x14ac:dyDescent="0.2">
      <c r="A69" s="3">
        <v>63666</v>
      </c>
      <c r="B69" s="3">
        <v>3.25</v>
      </c>
      <c r="C69" s="3">
        <v>2.33</v>
      </c>
      <c r="D69" s="3">
        <v>3.33</v>
      </c>
      <c r="E69" s="3">
        <v>4.38</v>
      </c>
      <c r="F69" s="3">
        <v>3.9</v>
      </c>
      <c r="G69" s="3">
        <v>2.7124999999999999</v>
      </c>
      <c r="H69" s="3">
        <v>4.0999999999999996</v>
      </c>
      <c r="I69" s="3">
        <v>4.0111111111111102</v>
      </c>
      <c r="J69" s="3">
        <v>1.3875</v>
      </c>
      <c r="K69" s="3">
        <v>2.81</v>
      </c>
      <c r="L69" s="3">
        <v>2.75</v>
      </c>
      <c r="M69" s="3">
        <v>4.3</v>
      </c>
      <c r="N69" s="3">
        <v>4.0111111111111102</v>
      </c>
      <c r="O69" s="3">
        <v>1.4750000000000001</v>
      </c>
      <c r="P69" s="3">
        <v>2.79</v>
      </c>
      <c r="Q69" s="3">
        <v>2.2999999999999998</v>
      </c>
      <c r="R69" s="3">
        <v>4.1111111111111098</v>
      </c>
      <c r="S69" s="3">
        <v>4</v>
      </c>
      <c r="T69" s="3">
        <v>1.75</v>
      </c>
      <c r="U69" s="3">
        <v>2.5</v>
      </c>
      <c r="V69" s="3">
        <v>3.875</v>
      </c>
      <c r="W69" s="3">
        <v>4.31111111111111</v>
      </c>
      <c r="X69" s="3">
        <v>4.0999999999999996</v>
      </c>
      <c r="Y69" s="3">
        <v>1.4750000000000001</v>
      </c>
      <c r="Z69" s="3">
        <v>3.1</v>
      </c>
      <c r="AA69" s="3">
        <v>3.75</v>
      </c>
      <c r="AB69" s="3">
        <v>4.2333333333333298</v>
      </c>
      <c r="AC69" s="3">
        <v>4.06666666666667</v>
      </c>
      <c r="AD69" s="3">
        <v>1.85</v>
      </c>
      <c r="AE69" s="3">
        <v>2.9</v>
      </c>
    </row>
    <row r="70" spans="1:31" x14ac:dyDescent="0.2">
      <c r="A70" s="3">
        <v>65682</v>
      </c>
      <c r="B70" s="3">
        <v>3.38</v>
      </c>
      <c r="C70" s="3">
        <v>4.1100000000000003</v>
      </c>
      <c r="D70" s="3">
        <v>4.8899999999999997</v>
      </c>
      <c r="E70" s="3">
        <v>1.5</v>
      </c>
      <c r="F70" s="3">
        <v>3.8</v>
      </c>
      <c r="G70" s="3">
        <v>2.4750000000000001</v>
      </c>
      <c r="H70" s="3">
        <v>3.68888888888889</v>
      </c>
      <c r="I70" s="3">
        <v>2.62222222222222</v>
      </c>
      <c r="J70" s="3">
        <v>2</v>
      </c>
      <c r="K70" s="3">
        <v>3.45</v>
      </c>
      <c r="L70" s="3">
        <v>2.125</v>
      </c>
      <c r="M70" s="3">
        <v>3.1444444444444399</v>
      </c>
      <c r="N70" s="3">
        <v>2.37777777777778</v>
      </c>
      <c r="O70" s="3">
        <v>2</v>
      </c>
      <c r="P70" s="3">
        <v>3.51</v>
      </c>
      <c r="Q70" s="3">
        <v>2.0499999999999998</v>
      </c>
      <c r="R70" s="3">
        <v>2.93333333333333</v>
      </c>
      <c r="S70" s="3">
        <v>2.56666666666667</v>
      </c>
      <c r="T70" s="3">
        <v>2</v>
      </c>
      <c r="U70" s="3">
        <v>3.26</v>
      </c>
      <c r="V70" s="3">
        <v>3</v>
      </c>
      <c r="W70" s="3">
        <v>3.8333333333333299</v>
      </c>
      <c r="X70" s="3">
        <v>2.2888888888888901</v>
      </c>
      <c r="Y70" s="3">
        <v>1.9375</v>
      </c>
      <c r="Z70" s="3">
        <v>3.66</v>
      </c>
      <c r="AA70" s="3">
        <v>3.875</v>
      </c>
      <c r="AB70" s="3">
        <v>3.7333333333333298</v>
      </c>
      <c r="AC70" s="3">
        <v>2.2222222222222201</v>
      </c>
      <c r="AD70" s="3">
        <v>1.875</v>
      </c>
      <c r="AE70" s="3">
        <v>3.78</v>
      </c>
    </row>
    <row r="71" spans="1:31" x14ac:dyDescent="0.2">
      <c r="A71" s="3">
        <v>66492</v>
      </c>
      <c r="B71" s="3">
        <v>3.13</v>
      </c>
      <c r="C71" s="3">
        <v>4.4400000000000004</v>
      </c>
      <c r="D71" s="3">
        <v>4.1100000000000003</v>
      </c>
      <c r="E71" s="3">
        <v>4</v>
      </c>
      <c r="F71" s="3">
        <v>3.9</v>
      </c>
      <c r="G71" s="3">
        <v>4.0250000000000004</v>
      </c>
      <c r="H71" s="3">
        <v>4.7888888888888896</v>
      </c>
      <c r="I71" s="3">
        <v>3.8444444444444499</v>
      </c>
      <c r="J71" s="3">
        <v>1.9875</v>
      </c>
      <c r="K71" s="3">
        <v>4.3899999999999997</v>
      </c>
      <c r="L71" s="3">
        <v>3.7625000000000002</v>
      </c>
      <c r="M71" s="3">
        <v>4.4222222222222198</v>
      </c>
      <c r="N71" s="3">
        <v>3.93333333333333</v>
      </c>
      <c r="O71" s="3">
        <v>2.0499999999999998</v>
      </c>
      <c r="P71" s="3">
        <v>4.2300000000000004</v>
      </c>
      <c r="Q71" s="3">
        <v>2.9624999999999999</v>
      </c>
      <c r="R71" s="3">
        <v>4.3888888888888804</v>
      </c>
      <c r="S71" s="3">
        <v>3.6666666666666701</v>
      </c>
      <c r="T71" s="3">
        <v>2.0499999999999998</v>
      </c>
      <c r="U71" s="3">
        <v>3.64</v>
      </c>
      <c r="V71" s="3">
        <v>4</v>
      </c>
      <c r="W71" s="3">
        <v>4.7777777777777803</v>
      </c>
      <c r="X71" s="3">
        <v>3.8</v>
      </c>
      <c r="Y71" s="3">
        <v>2.15</v>
      </c>
      <c r="Z71" s="3">
        <v>4.42</v>
      </c>
      <c r="AA71" s="3">
        <v>3.7625000000000002</v>
      </c>
      <c r="AB71" s="3">
        <v>4.3333333333333304</v>
      </c>
      <c r="AC71" s="3">
        <v>3.3</v>
      </c>
      <c r="AD71" s="3">
        <v>2.9624999999999999</v>
      </c>
      <c r="AE71" s="3">
        <v>4.04</v>
      </c>
    </row>
    <row r="72" spans="1:31" x14ac:dyDescent="0.2">
      <c r="A72" s="3">
        <v>66593</v>
      </c>
      <c r="B72" s="3">
        <v>4</v>
      </c>
      <c r="C72" s="3">
        <v>4</v>
      </c>
      <c r="D72" s="3">
        <v>3.44</v>
      </c>
      <c r="E72" s="3">
        <v>4</v>
      </c>
      <c r="F72" s="3">
        <v>2.8</v>
      </c>
      <c r="G72" s="3">
        <v>3.3250000000000002</v>
      </c>
      <c r="H72" s="3">
        <v>4.06666666666667</v>
      </c>
      <c r="I72" s="3">
        <v>3.18888888888889</v>
      </c>
      <c r="J72" s="3">
        <v>1.9</v>
      </c>
      <c r="K72" s="3">
        <v>3.35</v>
      </c>
      <c r="L72" s="3">
        <v>3.8</v>
      </c>
      <c r="M72" s="3">
        <v>4.24444444444444</v>
      </c>
      <c r="N72" s="3">
        <v>3.31111111111111</v>
      </c>
      <c r="O72" s="3">
        <v>1.875</v>
      </c>
      <c r="P72" s="3">
        <v>3.53</v>
      </c>
      <c r="Q72" s="3">
        <v>3.8624999999999998</v>
      </c>
      <c r="R72" s="3">
        <v>3.8666666666666698</v>
      </c>
      <c r="S72" s="3">
        <v>3.0111111111111102</v>
      </c>
      <c r="T72" s="3">
        <v>2.4375</v>
      </c>
      <c r="U72" s="3">
        <v>3.1</v>
      </c>
      <c r="V72" s="3">
        <v>3.8125</v>
      </c>
      <c r="W72" s="3">
        <v>4.2333333333333298</v>
      </c>
      <c r="X72" s="3">
        <v>3.0333333333333301</v>
      </c>
      <c r="Y72" s="3">
        <v>1.875</v>
      </c>
      <c r="Z72" s="3">
        <v>3.6</v>
      </c>
      <c r="AA72" s="3">
        <v>3.7250000000000001</v>
      </c>
      <c r="AB72" s="3">
        <v>3.9888888888888898</v>
      </c>
      <c r="AC72" s="3">
        <v>3.0888888888888899</v>
      </c>
      <c r="AD72" s="3">
        <v>2.375</v>
      </c>
      <c r="AE72" s="3">
        <v>3.67</v>
      </c>
    </row>
    <row r="73" spans="1:31" x14ac:dyDescent="0.2">
      <c r="A73" s="3">
        <v>67878</v>
      </c>
      <c r="B73" s="3">
        <v>3</v>
      </c>
      <c r="C73" s="3">
        <v>4.67</v>
      </c>
      <c r="D73" s="3">
        <v>4.5599999999999996</v>
      </c>
      <c r="E73" s="3">
        <v>1.88</v>
      </c>
      <c r="F73" s="3">
        <v>3.7</v>
      </c>
      <c r="G73" s="3">
        <v>2.5750000000000002</v>
      </c>
      <c r="H73" s="3">
        <v>4.4111111111111097</v>
      </c>
      <c r="I73" s="3">
        <v>4.3444444444444397</v>
      </c>
      <c r="J73" s="3">
        <v>1.4624999999999999</v>
      </c>
      <c r="K73" s="3">
        <v>2.74</v>
      </c>
      <c r="L73" s="3">
        <v>2.3875000000000002</v>
      </c>
      <c r="M73" s="3">
        <v>4.3222222222222202</v>
      </c>
      <c r="N73" s="3">
        <v>4.1111111111111098</v>
      </c>
      <c r="O73" s="3">
        <v>1.2749999999999999</v>
      </c>
      <c r="P73" s="3">
        <v>2.69</v>
      </c>
      <c r="Q73" s="3">
        <v>2.4</v>
      </c>
      <c r="R73" s="3">
        <v>3.9111111111111101</v>
      </c>
      <c r="S73" s="3">
        <v>4.2555555555555502</v>
      </c>
      <c r="T73" s="3">
        <v>1.35</v>
      </c>
      <c r="U73" s="3">
        <v>2.21</v>
      </c>
      <c r="V73" s="3">
        <v>3.0249999999999999</v>
      </c>
      <c r="W73" s="3">
        <v>4.43333333333333</v>
      </c>
      <c r="X73" s="3">
        <v>4.2111111111111104</v>
      </c>
      <c r="Y73" s="3">
        <v>1.8</v>
      </c>
      <c r="Z73" s="3">
        <v>3</v>
      </c>
      <c r="AA73" s="3">
        <v>2.95</v>
      </c>
      <c r="AB73" s="3">
        <v>3.9</v>
      </c>
      <c r="AC73" s="3">
        <v>4.24444444444444</v>
      </c>
      <c r="AD73" s="3">
        <v>1.8875</v>
      </c>
      <c r="AE73" s="3">
        <v>3.33</v>
      </c>
    </row>
    <row r="74" spans="1:31" x14ac:dyDescent="0.2">
      <c r="A74" s="3">
        <v>68635</v>
      </c>
      <c r="B74" s="3">
        <v>4.13</v>
      </c>
      <c r="C74" s="3">
        <v>3.56</v>
      </c>
      <c r="D74" s="3">
        <v>3.56</v>
      </c>
      <c r="E74" s="3">
        <v>2.5</v>
      </c>
      <c r="F74" s="3">
        <v>3.6</v>
      </c>
      <c r="G74" s="3">
        <v>2.375</v>
      </c>
      <c r="H74" s="3">
        <v>3.7444444444444498</v>
      </c>
      <c r="I74" s="3">
        <v>3.1</v>
      </c>
      <c r="J74" s="3">
        <v>1.3625</v>
      </c>
      <c r="K74" s="3">
        <v>2.54</v>
      </c>
      <c r="L74" s="3">
        <v>2.4375</v>
      </c>
      <c r="M74" s="3">
        <v>3.8</v>
      </c>
      <c r="N74" s="3">
        <v>3.1111111111111098</v>
      </c>
      <c r="O74" s="3">
        <v>1.3625</v>
      </c>
      <c r="P74" s="3">
        <v>2.42</v>
      </c>
      <c r="Q74" s="3">
        <v>2.4874999999999998</v>
      </c>
      <c r="R74" s="3">
        <v>3.5333333333333301</v>
      </c>
      <c r="S74" s="3">
        <v>2.7222222222222201</v>
      </c>
      <c r="T74" s="3">
        <v>1.6625000000000001</v>
      </c>
      <c r="U74" s="3">
        <v>2.4700000000000002</v>
      </c>
      <c r="V74" s="3">
        <v>3.2124999999999999</v>
      </c>
      <c r="W74" s="3">
        <v>3.8555555555555601</v>
      </c>
      <c r="X74" s="3">
        <v>2.9444444444444402</v>
      </c>
      <c r="Y74" s="3">
        <v>1.75</v>
      </c>
      <c r="Z74" s="3">
        <v>2.9</v>
      </c>
      <c r="AA74" s="3">
        <v>3.6625000000000001</v>
      </c>
      <c r="AB74" s="3">
        <v>3.9222222222222198</v>
      </c>
      <c r="AC74" s="3">
        <v>2.3888888888888902</v>
      </c>
      <c r="AD74" s="3">
        <v>1.875</v>
      </c>
      <c r="AE74" s="3">
        <v>2.89</v>
      </c>
    </row>
    <row r="75" spans="1:31" x14ac:dyDescent="0.2">
      <c r="A75" s="3">
        <v>72484</v>
      </c>
      <c r="B75" s="3">
        <v>1.63</v>
      </c>
      <c r="C75" s="3">
        <v>3.67</v>
      </c>
      <c r="D75" s="3">
        <v>3.89</v>
      </c>
      <c r="E75" s="3">
        <v>3.63</v>
      </c>
      <c r="F75" s="3">
        <v>4.5</v>
      </c>
      <c r="G75" s="3">
        <v>2.15</v>
      </c>
      <c r="H75" s="3">
        <v>3.62222222222222</v>
      </c>
      <c r="I75" s="3">
        <v>3.1111111111111098</v>
      </c>
      <c r="J75" s="3">
        <v>2.3624999999999998</v>
      </c>
      <c r="K75" s="3">
        <v>3.12</v>
      </c>
      <c r="L75" s="3">
        <v>2.5125000000000002</v>
      </c>
      <c r="M75" s="3">
        <v>3.62222222222222</v>
      </c>
      <c r="N75" s="3">
        <v>2.55555555555555</v>
      </c>
      <c r="O75" s="3">
        <v>2.0625</v>
      </c>
      <c r="P75" s="3">
        <v>2.82</v>
      </c>
      <c r="Q75" s="3">
        <v>2.3624999999999998</v>
      </c>
      <c r="R75" s="3">
        <v>3.8555555555555601</v>
      </c>
      <c r="S75" s="3">
        <v>2.56666666666667</v>
      </c>
      <c r="T75" s="3">
        <v>1.85</v>
      </c>
      <c r="U75" s="3">
        <v>2.75</v>
      </c>
      <c r="V75" s="3">
        <v>2.5249999999999999</v>
      </c>
      <c r="W75" s="3">
        <v>3.5777777777777802</v>
      </c>
      <c r="X75" s="3">
        <v>3.1111111111111098</v>
      </c>
      <c r="Y75" s="3">
        <v>2.4500000000000002</v>
      </c>
      <c r="Z75" s="3">
        <v>3.1</v>
      </c>
      <c r="AA75" s="3">
        <v>3.0125000000000002</v>
      </c>
      <c r="AB75" s="3">
        <v>3.4555555555555602</v>
      </c>
      <c r="AC75" s="3">
        <v>2.1444444444444399</v>
      </c>
      <c r="AD75" s="3">
        <v>2.2875000000000001</v>
      </c>
      <c r="AE75" s="3">
        <v>2.3199999999999998</v>
      </c>
    </row>
    <row r="76" spans="1:31" x14ac:dyDescent="0.2">
      <c r="A76" s="3">
        <v>74226</v>
      </c>
      <c r="B76" s="3">
        <v>1.75</v>
      </c>
      <c r="C76" s="3">
        <v>4.5599999999999996</v>
      </c>
      <c r="D76" s="3">
        <v>4.33</v>
      </c>
      <c r="E76" s="3">
        <v>3.75</v>
      </c>
      <c r="F76" s="3">
        <v>2.8</v>
      </c>
      <c r="G76" s="3">
        <v>2.3250000000000002</v>
      </c>
      <c r="H76" s="3">
        <v>3.5</v>
      </c>
      <c r="I76" s="3">
        <v>4.8888888888888902</v>
      </c>
      <c r="J76" s="3">
        <v>1.6875</v>
      </c>
      <c r="K76" s="3">
        <v>2.87</v>
      </c>
      <c r="L76" s="3">
        <v>2.1124999999999998</v>
      </c>
      <c r="M76" s="3">
        <v>3.3777777777777702</v>
      </c>
      <c r="N76" s="3">
        <v>4.87777777777778</v>
      </c>
      <c r="O76" s="3">
        <v>2</v>
      </c>
      <c r="P76" s="3">
        <v>2.6</v>
      </c>
      <c r="Q76" s="3">
        <v>2.0499999999999998</v>
      </c>
      <c r="R76" s="3">
        <v>3.4444444444444402</v>
      </c>
      <c r="S76" s="3">
        <v>4.1666666666666599</v>
      </c>
      <c r="T76" s="3">
        <v>2</v>
      </c>
      <c r="U76" s="3">
        <v>2.93</v>
      </c>
      <c r="V76" s="3">
        <v>2.4</v>
      </c>
      <c r="W76" s="3">
        <v>3.5888888888888899</v>
      </c>
      <c r="X76" s="3">
        <v>4.8222222222222202</v>
      </c>
      <c r="Y76" s="3">
        <v>1.8</v>
      </c>
      <c r="Z76" s="3">
        <v>2.95</v>
      </c>
      <c r="AA76" s="3">
        <v>3.4624999999999999</v>
      </c>
      <c r="AB76" s="3">
        <v>3.4555555555555499</v>
      </c>
      <c r="AC76" s="3">
        <v>4.0777777777777802</v>
      </c>
      <c r="AD76" s="3">
        <v>1.875</v>
      </c>
      <c r="AE76" s="3">
        <v>3.2</v>
      </c>
    </row>
    <row r="77" spans="1:31" x14ac:dyDescent="0.2">
      <c r="A77" s="3">
        <v>76239</v>
      </c>
      <c r="B77" s="3">
        <v>1.75</v>
      </c>
      <c r="C77" s="3">
        <v>3.33</v>
      </c>
      <c r="D77" s="3">
        <v>3</v>
      </c>
      <c r="E77" s="3">
        <v>3.25</v>
      </c>
      <c r="F77" s="3">
        <v>4.0999999999999996</v>
      </c>
      <c r="G77" s="3">
        <v>3.5249999999999999</v>
      </c>
      <c r="H77" s="3">
        <v>3.9</v>
      </c>
      <c r="I77" s="3">
        <v>2.1444444444444399</v>
      </c>
      <c r="J77" s="3">
        <v>4.4375</v>
      </c>
      <c r="K77" s="3">
        <v>4.3099999999999996</v>
      </c>
      <c r="L77" s="3">
        <v>3.5125000000000002</v>
      </c>
      <c r="M77" s="3">
        <v>4.2111111111111104</v>
      </c>
      <c r="N77" s="3">
        <v>2.1666666666666599</v>
      </c>
      <c r="O77" s="3">
        <v>4.1624999999999996</v>
      </c>
      <c r="P77" s="3">
        <v>4.3</v>
      </c>
      <c r="Q77" s="3">
        <v>2.875</v>
      </c>
      <c r="R77" s="3">
        <v>4.3888888888888902</v>
      </c>
      <c r="S77" s="3">
        <v>3.1</v>
      </c>
      <c r="T77" s="3">
        <v>3.95</v>
      </c>
      <c r="U77" s="3">
        <v>4.08</v>
      </c>
      <c r="V77" s="3">
        <v>4.125</v>
      </c>
      <c r="W77" s="3">
        <v>3.7888888888888901</v>
      </c>
      <c r="X77" s="3">
        <v>2.0777777777777802</v>
      </c>
      <c r="Y77" s="3">
        <v>4.625</v>
      </c>
      <c r="Z77" s="3">
        <v>4.24</v>
      </c>
      <c r="AA77" s="3">
        <v>3.375</v>
      </c>
      <c r="AB77" s="3">
        <v>3.3333333333333299</v>
      </c>
      <c r="AC77" s="3">
        <v>2.2777777777777799</v>
      </c>
      <c r="AD77" s="3">
        <v>4.7249999999999996</v>
      </c>
      <c r="AE77" s="3">
        <v>4.28</v>
      </c>
    </row>
    <row r="78" spans="1:31" x14ac:dyDescent="0.2">
      <c r="A78" s="3">
        <v>80165</v>
      </c>
      <c r="B78" s="3">
        <v>3</v>
      </c>
      <c r="C78" s="3">
        <v>4.1100000000000003</v>
      </c>
      <c r="D78" s="3">
        <v>4.67</v>
      </c>
      <c r="E78" s="3">
        <v>3</v>
      </c>
      <c r="F78" s="3">
        <v>3.3</v>
      </c>
      <c r="G78" s="3">
        <v>3.2374999999999998</v>
      </c>
      <c r="H78" s="3">
        <v>4.5555555555555598</v>
      </c>
      <c r="I78" s="3">
        <v>3.9555555555555602</v>
      </c>
      <c r="J78" s="3">
        <v>1.9875</v>
      </c>
      <c r="K78" s="3">
        <v>3.2</v>
      </c>
      <c r="L78" s="3">
        <v>3.2250000000000001</v>
      </c>
      <c r="M78" s="3">
        <v>4.43333333333333</v>
      </c>
      <c r="N78" s="3">
        <v>3.62222222222222</v>
      </c>
      <c r="O78" s="3">
        <v>2.3125</v>
      </c>
      <c r="P78" s="3">
        <v>3.59</v>
      </c>
      <c r="Q78" s="3">
        <v>2.5</v>
      </c>
      <c r="R78" s="3">
        <v>3.8222222222222202</v>
      </c>
      <c r="S78" s="3">
        <v>3.3222222222222202</v>
      </c>
      <c r="T78" s="3">
        <v>1.9875</v>
      </c>
      <c r="U78" s="3">
        <v>2.62</v>
      </c>
      <c r="V78" s="3">
        <v>3.8875000000000002</v>
      </c>
      <c r="W78" s="3">
        <v>4.5444444444444496</v>
      </c>
      <c r="X78" s="3">
        <v>3.56666666666667</v>
      </c>
      <c r="Y78" s="3">
        <v>2.1375000000000002</v>
      </c>
      <c r="Z78" s="3">
        <v>3.33</v>
      </c>
      <c r="AA78" s="3">
        <v>3.75</v>
      </c>
      <c r="AB78" s="3">
        <v>4.8222222222222202</v>
      </c>
      <c r="AC78" s="3">
        <v>4.0999999999999996</v>
      </c>
      <c r="AD78" s="3">
        <v>2.7250000000000001</v>
      </c>
      <c r="AE78" s="3">
        <v>3.49</v>
      </c>
    </row>
    <row r="79" spans="1:31" x14ac:dyDescent="0.2">
      <c r="A79" s="3">
        <v>80974</v>
      </c>
      <c r="B79" s="3">
        <v>3</v>
      </c>
      <c r="C79" s="3">
        <v>3.78</v>
      </c>
      <c r="D79" s="3">
        <v>4.33</v>
      </c>
      <c r="E79" s="3">
        <v>3.13</v>
      </c>
      <c r="F79" s="3">
        <v>4.5999999999999996</v>
      </c>
      <c r="G79" s="3">
        <v>3.1124999999999998</v>
      </c>
      <c r="H79" s="3">
        <v>3.2555555555555502</v>
      </c>
      <c r="I79" s="3">
        <v>3.8444444444444401</v>
      </c>
      <c r="J79" s="3">
        <v>2.0125000000000002</v>
      </c>
      <c r="K79" s="3">
        <v>4.8899999999999997</v>
      </c>
      <c r="L79" s="3">
        <v>3.0750000000000002</v>
      </c>
      <c r="M79" s="3">
        <v>3.4555555555555499</v>
      </c>
      <c r="N79" s="3">
        <v>3.8444444444444499</v>
      </c>
      <c r="O79" s="3">
        <v>1.3374999999999999</v>
      </c>
      <c r="P79" s="3">
        <v>4.87</v>
      </c>
      <c r="Q79" s="3">
        <v>2.4874999999999998</v>
      </c>
      <c r="R79" s="3">
        <v>3.4111111111111101</v>
      </c>
      <c r="S79" s="3">
        <v>3.06666666666667</v>
      </c>
      <c r="T79" s="3">
        <v>2</v>
      </c>
      <c r="U79" s="3">
        <v>4.22</v>
      </c>
      <c r="V79" s="3">
        <v>3.3</v>
      </c>
      <c r="W79" s="3">
        <v>3.3222222222222202</v>
      </c>
      <c r="X79" s="3">
        <v>3.0777777777777802</v>
      </c>
      <c r="Y79" s="3">
        <v>2.875</v>
      </c>
      <c r="Z79" s="3">
        <v>4.9400000000000004</v>
      </c>
      <c r="AA79" s="3">
        <v>3.9</v>
      </c>
      <c r="AB79" s="3">
        <v>2.9666666666666699</v>
      </c>
      <c r="AC79" s="3">
        <v>2.87777777777778</v>
      </c>
      <c r="AD79" s="3">
        <v>2.5249999999999999</v>
      </c>
      <c r="AE79" s="3">
        <v>4.8899999999999997</v>
      </c>
    </row>
    <row r="80" spans="1:31" x14ac:dyDescent="0.2">
      <c r="A80" s="3">
        <v>81820</v>
      </c>
      <c r="B80" s="3">
        <v>2.63</v>
      </c>
      <c r="C80" s="3">
        <v>4.33</v>
      </c>
      <c r="D80" s="3">
        <v>3.67</v>
      </c>
      <c r="E80" s="3">
        <v>3.13</v>
      </c>
      <c r="F80" s="3">
        <v>3.2</v>
      </c>
      <c r="G80" s="3">
        <v>2.375</v>
      </c>
      <c r="H80" s="3">
        <v>3.93333333333333</v>
      </c>
      <c r="I80" s="3">
        <v>3.8222222222222202</v>
      </c>
      <c r="J80" s="3">
        <v>1.9</v>
      </c>
      <c r="K80" s="3">
        <v>3.3</v>
      </c>
      <c r="L80" s="3">
        <v>2.2124999999999999</v>
      </c>
      <c r="M80" s="3">
        <v>4.2333333333333298</v>
      </c>
      <c r="N80" s="3">
        <v>3.5555555555555598</v>
      </c>
      <c r="O80" s="3">
        <v>2</v>
      </c>
      <c r="P80" s="3">
        <v>2.98</v>
      </c>
      <c r="Q80" s="3">
        <v>2.0499999999999998</v>
      </c>
      <c r="R80" s="3">
        <v>4.2</v>
      </c>
      <c r="S80" s="3">
        <v>3.7333333333333401</v>
      </c>
      <c r="T80" s="3">
        <v>2</v>
      </c>
      <c r="U80" s="3">
        <v>2.88</v>
      </c>
      <c r="V80" s="3">
        <v>2.4624999999999999</v>
      </c>
      <c r="W80" s="3">
        <v>3.8555555555555601</v>
      </c>
      <c r="X80" s="3">
        <v>3.8222222222222202</v>
      </c>
      <c r="Y80" s="3">
        <v>1.9125000000000001</v>
      </c>
      <c r="Z80" s="3">
        <v>3.67</v>
      </c>
      <c r="AA80" s="3">
        <v>2.4</v>
      </c>
      <c r="AB80" s="3">
        <v>3.5333333333333301</v>
      </c>
      <c r="AC80" s="3">
        <v>3.4111111111111101</v>
      </c>
      <c r="AD80" s="3">
        <v>1.95</v>
      </c>
      <c r="AE80" s="3">
        <v>3.97</v>
      </c>
    </row>
    <row r="81" spans="1:31" x14ac:dyDescent="0.2">
      <c r="A81" s="3">
        <v>83594</v>
      </c>
      <c r="B81" s="3">
        <v>1.88</v>
      </c>
      <c r="C81" s="3">
        <v>4.33</v>
      </c>
      <c r="D81" s="3">
        <v>2.33</v>
      </c>
      <c r="E81" s="3">
        <v>2.38</v>
      </c>
      <c r="F81" s="3">
        <v>4.5999999999999996</v>
      </c>
      <c r="G81" s="3">
        <v>1.9624999999999999</v>
      </c>
      <c r="H81" s="3">
        <v>2.7777777777777799</v>
      </c>
      <c r="I81" s="3">
        <v>4.0888888888888903</v>
      </c>
      <c r="J81" s="3">
        <v>2.1875</v>
      </c>
      <c r="K81" s="3">
        <v>4.91</v>
      </c>
      <c r="L81" s="3">
        <v>1.85</v>
      </c>
      <c r="M81" s="3">
        <v>2.7222222222222201</v>
      </c>
      <c r="N81" s="3">
        <v>4.06666666666667</v>
      </c>
      <c r="O81" s="3">
        <v>2.4375</v>
      </c>
      <c r="P81" s="3">
        <v>4.26</v>
      </c>
      <c r="Q81" s="3">
        <v>2.0375000000000001</v>
      </c>
      <c r="R81" s="3">
        <v>2.9111111111111101</v>
      </c>
      <c r="S81" s="3">
        <v>3.56666666666667</v>
      </c>
      <c r="T81" s="3">
        <v>3.2625000000000002</v>
      </c>
      <c r="U81" s="3">
        <v>3.96</v>
      </c>
      <c r="V81" s="3">
        <v>2.3125</v>
      </c>
      <c r="W81" s="3">
        <v>2.4777777777777801</v>
      </c>
      <c r="X81" s="3">
        <v>4.0999999999999996</v>
      </c>
      <c r="Y81" s="3">
        <v>2.7625000000000002</v>
      </c>
      <c r="Z81" s="3">
        <v>4.96</v>
      </c>
      <c r="AA81" s="3">
        <v>3.1875</v>
      </c>
      <c r="AB81" s="3">
        <v>3.4111111111111101</v>
      </c>
      <c r="AC81" s="3">
        <v>3.4888888888888898</v>
      </c>
      <c r="AD81" s="3">
        <v>2.8</v>
      </c>
      <c r="AE81" s="3">
        <v>4.71</v>
      </c>
    </row>
    <row r="82" spans="1:31" x14ac:dyDescent="0.2">
      <c r="A82" s="3">
        <v>84074</v>
      </c>
      <c r="B82" s="3">
        <v>1.75</v>
      </c>
      <c r="C82" s="3">
        <v>4.4400000000000004</v>
      </c>
      <c r="D82" s="3">
        <v>3.22</v>
      </c>
      <c r="E82" s="3">
        <v>3.75</v>
      </c>
      <c r="F82" s="3">
        <v>4</v>
      </c>
      <c r="G82" s="3">
        <v>2.2625000000000002</v>
      </c>
      <c r="H82" s="3">
        <v>3.7666666666666702</v>
      </c>
      <c r="I82" s="3">
        <v>3.0222222222222199</v>
      </c>
      <c r="J82" s="3">
        <v>2.5125000000000002</v>
      </c>
      <c r="K82" s="3">
        <v>3.78</v>
      </c>
      <c r="L82" s="3">
        <v>2.85</v>
      </c>
      <c r="M82" s="3">
        <v>4.3</v>
      </c>
      <c r="N82" s="3">
        <v>2.8222222222222202</v>
      </c>
      <c r="O82" s="3">
        <v>1.925</v>
      </c>
      <c r="P82" s="3">
        <v>3.75</v>
      </c>
      <c r="Q82" s="3">
        <v>3.2875000000000001</v>
      </c>
      <c r="R82" s="3">
        <v>4.1444444444444404</v>
      </c>
      <c r="S82" s="3">
        <v>2.4888888888888898</v>
      </c>
      <c r="T82" s="3">
        <v>2.4874999999999998</v>
      </c>
      <c r="U82" s="3">
        <v>3.49</v>
      </c>
      <c r="V82" s="3">
        <v>2.7</v>
      </c>
      <c r="W82" s="3">
        <v>3.9666666666666699</v>
      </c>
      <c r="X82" s="3">
        <v>2.9</v>
      </c>
      <c r="Y82" s="3">
        <v>2.2000000000000002</v>
      </c>
      <c r="Z82" s="3">
        <v>3.73</v>
      </c>
      <c r="AA82" s="3">
        <v>3.65</v>
      </c>
      <c r="AB82" s="3">
        <v>3.56666666666667</v>
      </c>
      <c r="AC82" s="3">
        <v>3.0888888888888899</v>
      </c>
      <c r="AD82" s="3">
        <v>1.9125000000000001</v>
      </c>
      <c r="AE82" s="3">
        <v>3.64</v>
      </c>
    </row>
    <row r="83" spans="1:31" x14ac:dyDescent="0.2">
      <c r="A83" s="3">
        <v>84157</v>
      </c>
      <c r="B83" s="3">
        <v>2.13</v>
      </c>
      <c r="C83" s="3">
        <v>4.4400000000000004</v>
      </c>
      <c r="D83" s="3">
        <v>3</v>
      </c>
      <c r="E83" s="3">
        <v>3.63</v>
      </c>
      <c r="F83" s="3">
        <v>4.9000000000000004</v>
      </c>
      <c r="G83" s="3">
        <v>3.4</v>
      </c>
      <c r="H83" s="3">
        <v>4.4666666666666597</v>
      </c>
      <c r="I83" s="3">
        <v>3.12222222222222</v>
      </c>
      <c r="J83" s="3">
        <v>1.875</v>
      </c>
      <c r="K83" s="3">
        <v>4.6100000000000003</v>
      </c>
      <c r="L83" s="3">
        <v>3.4874999999999998</v>
      </c>
      <c r="M83" s="3">
        <v>4.5777777777777802</v>
      </c>
      <c r="N83" s="3">
        <v>3.0777777777777802</v>
      </c>
      <c r="O83" s="3">
        <v>1.7250000000000001</v>
      </c>
      <c r="P83" s="3">
        <v>4.6100000000000003</v>
      </c>
      <c r="Q83" s="3">
        <v>3.8875000000000002</v>
      </c>
      <c r="R83" s="3">
        <v>4.4777777777777796</v>
      </c>
      <c r="S83" s="3">
        <v>3.1111111111111098</v>
      </c>
      <c r="T83" s="3">
        <v>1.6375</v>
      </c>
      <c r="U83" s="3">
        <v>3.79</v>
      </c>
      <c r="V83" s="3">
        <v>3.5625</v>
      </c>
      <c r="W83" s="3">
        <v>4.4555555555555504</v>
      </c>
      <c r="X83" s="3">
        <v>3.0222222222222199</v>
      </c>
      <c r="Y83" s="3">
        <v>2.375</v>
      </c>
      <c r="Z83" s="3">
        <v>4.67</v>
      </c>
      <c r="AA83" s="3">
        <v>3.4249999999999998</v>
      </c>
      <c r="AB83" s="3">
        <v>4.3888888888888902</v>
      </c>
      <c r="AC83" s="3">
        <v>3.24444444444444</v>
      </c>
      <c r="AD83" s="3">
        <v>1.9</v>
      </c>
      <c r="AE83" s="3">
        <v>4.72</v>
      </c>
    </row>
    <row r="84" spans="1:31" x14ac:dyDescent="0.2">
      <c r="A84" s="3">
        <v>84547</v>
      </c>
      <c r="B84" s="3">
        <v>4.63</v>
      </c>
      <c r="C84" s="3">
        <v>4</v>
      </c>
      <c r="D84" s="3">
        <v>1.78</v>
      </c>
      <c r="E84" s="3">
        <v>3</v>
      </c>
      <c r="F84" s="3">
        <v>4.4000000000000004</v>
      </c>
      <c r="G84" s="3">
        <v>4.0374999999999996</v>
      </c>
      <c r="H84" s="3">
        <v>4.36666666666666</v>
      </c>
      <c r="I84" s="3">
        <v>1.8888888888888899</v>
      </c>
      <c r="J84" s="3">
        <v>1.7124999999999999</v>
      </c>
      <c r="K84" s="3">
        <v>3.61</v>
      </c>
      <c r="L84" s="3">
        <v>3.9750000000000001</v>
      </c>
      <c r="M84" s="3">
        <v>4.1333333333333302</v>
      </c>
      <c r="N84" s="3">
        <v>1.8444444444444501</v>
      </c>
      <c r="O84" s="3">
        <v>1.675</v>
      </c>
      <c r="P84" s="3">
        <v>3.5</v>
      </c>
      <c r="Q84" s="3">
        <v>2.2124999999999999</v>
      </c>
      <c r="R84" s="3">
        <v>3.4222222222222198</v>
      </c>
      <c r="S84" s="3">
        <v>3.7</v>
      </c>
      <c r="T84" s="3">
        <v>2</v>
      </c>
      <c r="U84" s="3">
        <v>3.29</v>
      </c>
      <c r="V84" s="3">
        <v>4.3875000000000002</v>
      </c>
      <c r="W84" s="3">
        <v>4.4111111111111097</v>
      </c>
      <c r="X84" s="3">
        <v>1.7888888888888901</v>
      </c>
      <c r="Y84" s="3">
        <v>1.7124999999999999</v>
      </c>
      <c r="Z84" s="3">
        <v>3.84</v>
      </c>
      <c r="AA84" s="3">
        <v>4.4874999999999998</v>
      </c>
      <c r="AB84" s="3">
        <v>4.0888888888888903</v>
      </c>
      <c r="AC84" s="3">
        <v>3.12222222222222</v>
      </c>
      <c r="AD84" s="3">
        <v>1.7625</v>
      </c>
      <c r="AE84" s="3">
        <v>3.08</v>
      </c>
    </row>
    <row r="85" spans="1:31" x14ac:dyDescent="0.2">
      <c r="A85" s="3">
        <v>84878</v>
      </c>
      <c r="B85" s="3">
        <v>3.75</v>
      </c>
      <c r="C85" s="3">
        <v>4.4400000000000004</v>
      </c>
      <c r="D85" s="3">
        <v>4.4400000000000004</v>
      </c>
      <c r="E85" s="3">
        <v>2.88</v>
      </c>
      <c r="F85" s="3">
        <v>4</v>
      </c>
      <c r="G85" s="3">
        <v>2.2875000000000001</v>
      </c>
      <c r="H85" s="3">
        <v>3.9888888888888898</v>
      </c>
      <c r="I85" s="3">
        <v>2.5444444444444398</v>
      </c>
      <c r="J85" s="3">
        <v>3.9</v>
      </c>
      <c r="K85" s="3">
        <v>2.5099999999999998</v>
      </c>
      <c r="L85" s="3">
        <v>2.125</v>
      </c>
      <c r="M85" s="3">
        <v>3.62222222222222</v>
      </c>
      <c r="N85" s="3">
        <v>2.1777777777777798</v>
      </c>
      <c r="O85" s="3">
        <v>4.0374999999999996</v>
      </c>
      <c r="P85" s="3">
        <v>2.5499999999999998</v>
      </c>
      <c r="Q85" s="3">
        <v>2</v>
      </c>
      <c r="R85" s="3">
        <v>3.5444444444444501</v>
      </c>
      <c r="S85" s="3">
        <v>2.0888888888888899</v>
      </c>
      <c r="T85" s="3">
        <v>3.8624999999999998</v>
      </c>
      <c r="U85" s="3">
        <v>2.0299999999999998</v>
      </c>
      <c r="V85" s="3">
        <v>2.9</v>
      </c>
      <c r="W85" s="3">
        <v>3.7333333333333401</v>
      </c>
      <c r="X85" s="3">
        <v>2.5888888888888899</v>
      </c>
      <c r="Y85" s="3">
        <v>3.85</v>
      </c>
      <c r="Z85" s="3">
        <v>2.56</v>
      </c>
      <c r="AA85" s="3">
        <v>3.5249999999999999</v>
      </c>
      <c r="AB85" s="3">
        <v>3.9888888888888898</v>
      </c>
      <c r="AC85" s="3">
        <v>2.4666666666666699</v>
      </c>
      <c r="AD85" s="3">
        <v>3.3374999999999999</v>
      </c>
      <c r="AE85" s="3">
        <v>2.41</v>
      </c>
    </row>
    <row r="86" spans="1:31" x14ac:dyDescent="0.2">
      <c r="A86" s="3">
        <v>84905</v>
      </c>
      <c r="B86" s="3">
        <v>3.5</v>
      </c>
      <c r="C86" s="3">
        <v>2.56</v>
      </c>
      <c r="D86" s="3">
        <v>4.5599999999999996</v>
      </c>
      <c r="E86" s="3">
        <v>3</v>
      </c>
      <c r="F86" s="3">
        <v>3.8</v>
      </c>
      <c r="G86" s="3">
        <v>2.4</v>
      </c>
      <c r="H86" s="3">
        <v>3.5</v>
      </c>
      <c r="I86" s="3">
        <v>4.0444444444444398</v>
      </c>
      <c r="J86" s="3">
        <v>2.0375000000000001</v>
      </c>
      <c r="K86" s="3">
        <v>4.09</v>
      </c>
      <c r="L86" s="3">
        <v>2.2999999999999998</v>
      </c>
      <c r="M86" s="3">
        <v>3.36666666666666</v>
      </c>
      <c r="N86" s="3">
        <v>3.4888888888888898</v>
      </c>
      <c r="O86" s="3">
        <v>2.1375000000000002</v>
      </c>
      <c r="P86" s="3">
        <v>3.89</v>
      </c>
      <c r="Q86" s="3">
        <v>2.125</v>
      </c>
      <c r="R86" s="3">
        <v>3.4666666666666601</v>
      </c>
      <c r="S86" s="3">
        <v>3.8333333333333299</v>
      </c>
      <c r="T86" s="3">
        <v>1.95</v>
      </c>
      <c r="U86" s="3">
        <v>3.9</v>
      </c>
      <c r="V86" s="3">
        <v>3</v>
      </c>
      <c r="W86" s="3">
        <v>3.24444444444444</v>
      </c>
      <c r="X86" s="3">
        <v>3.7333333333333298</v>
      </c>
      <c r="Y86" s="3">
        <v>2.5750000000000002</v>
      </c>
      <c r="Z86" s="3">
        <v>3.92</v>
      </c>
      <c r="AA86" s="3">
        <v>3.2625000000000002</v>
      </c>
      <c r="AB86" s="3">
        <v>2.9888888888888898</v>
      </c>
      <c r="AC86" s="3">
        <v>3.0888888888888899</v>
      </c>
      <c r="AD86" s="3">
        <v>1.9624999999999999</v>
      </c>
      <c r="AE86" s="3">
        <v>4.07</v>
      </c>
    </row>
    <row r="87" spans="1:31" x14ac:dyDescent="0.2">
      <c r="A87" s="3">
        <v>85289</v>
      </c>
      <c r="B87" s="3">
        <v>2.88</v>
      </c>
      <c r="C87" s="3">
        <v>4.5599999999999996</v>
      </c>
      <c r="D87" s="3">
        <v>4.1100000000000003</v>
      </c>
      <c r="E87" s="3">
        <v>3.38</v>
      </c>
      <c r="F87" s="3">
        <v>4</v>
      </c>
      <c r="G87" s="3">
        <v>3.375</v>
      </c>
      <c r="H87" s="3">
        <v>4.7</v>
      </c>
      <c r="I87" s="3">
        <v>4.4777777777777796</v>
      </c>
      <c r="J87" s="3">
        <v>3.5874999999999999</v>
      </c>
      <c r="K87" s="3">
        <v>2.96</v>
      </c>
      <c r="L87" s="3">
        <v>3.3250000000000002</v>
      </c>
      <c r="M87" s="3">
        <v>4.5333333333333403</v>
      </c>
      <c r="N87" s="3">
        <v>4.2666666666666702</v>
      </c>
      <c r="O87" s="3">
        <v>3.625</v>
      </c>
      <c r="P87" s="3">
        <v>3</v>
      </c>
      <c r="Q87" s="3">
        <v>3.3</v>
      </c>
      <c r="R87" s="3">
        <v>4.2888888888888896</v>
      </c>
      <c r="S87" s="3">
        <v>4.2</v>
      </c>
      <c r="T87" s="3">
        <v>3.625</v>
      </c>
      <c r="U87" s="3">
        <v>2.4900000000000002</v>
      </c>
      <c r="V87" s="3">
        <v>3.55</v>
      </c>
      <c r="W87" s="3">
        <v>4.7444444444444498</v>
      </c>
      <c r="X87" s="3">
        <v>4.1444444444444404</v>
      </c>
      <c r="Y87" s="3">
        <v>3.5625</v>
      </c>
      <c r="Z87" s="3">
        <v>3.08</v>
      </c>
      <c r="AA87" s="3">
        <v>3.7250000000000001</v>
      </c>
      <c r="AB87" s="3">
        <v>4.2555555555555502</v>
      </c>
      <c r="AC87" s="3">
        <v>4.0222222222222204</v>
      </c>
      <c r="AD87" s="3">
        <v>3.8</v>
      </c>
      <c r="AE87" s="3">
        <v>2.86</v>
      </c>
    </row>
    <row r="88" spans="1:31" x14ac:dyDescent="0.2">
      <c r="A88" s="3">
        <v>85637</v>
      </c>
      <c r="B88" s="3">
        <v>2.75</v>
      </c>
      <c r="C88" s="3">
        <v>3.22</v>
      </c>
      <c r="D88" s="3">
        <v>2.11</v>
      </c>
      <c r="E88" s="3">
        <v>4.5</v>
      </c>
      <c r="F88" s="3">
        <v>3.5</v>
      </c>
      <c r="G88" s="3">
        <v>3.6375000000000002</v>
      </c>
      <c r="H88" s="3">
        <v>3.7333333333333401</v>
      </c>
      <c r="I88" s="3">
        <v>2.2111111111111099</v>
      </c>
      <c r="J88" s="3">
        <v>1.8625</v>
      </c>
      <c r="K88" s="3">
        <v>3.64</v>
      </c>
      <c r="L88" s="3">
        <v>3.1875</v>
      </c>
      <c r="M88" s="3">
        <v>3.5555555555555598</v>
      </c>
      <c r="N88" s="3">
        <v>2.2222222222222201</v>
      </c>
      <c r="O88" s="3">
        <v>1.9125000000000001</v>
      </c>
      <c r="P88" s="3">
        <v>3.05</v>
      </c>
      <c r="Q88" s="3">
        <v>3.6875</v>
      </c>
      <c r="R88" s="3">
        <v>3.2888888888888901</v>
      </c>
      <c r="S88" s="3">
        <v>2.55555555555555</v>
      </c>
      <c r="T88" s="3">
        <v>1.8875</v>
      </c>
      <c r="U88" s="3">
        <v>2.71</v>
      </c>
      <c r="V88" s="3">
        <v>4.0125000000000002</v>
      </c>
      <c r="W88" s="3">
        <v>3.5888888888888899</v>
      </c>
      <c r="X88" s="3">
        <v>2.1555555555555501</v>
      </c>
      <c r="Y88" s="3">
        <v>1.875</v>
      </c>
      <c r="Z88" s="3">
        <v>3.77</v>
      </c>
      <c r="AA88" s="3">
        <v>3.75</v>
      </c>
      <c r="AB88" s="3">
        <v>4.0333333333333297</v>
      </c>
      <c r="AC88" s="3">
        <v>3.0111111111111102</v>
      </c>
      <c r="AD88" s="3">
        <v>1.8875</v>
      </c>
      <c r="AE88" s="3">
        <v>4.18</v>
      </c>
    </row>
    <row r="89" spans="1:31" x14ac:dyDescent="0.2">
      <c r="A89" s="3">
        <v>85955</v>
      </c>
      <c r="B89" s="3">
        <v>2.75</v>
      </c>
      <c r="C89" s="3">
        <v>4</v>
      </c>
      <c r="D89" s="3">
        <v>2.89</v>
      </c>
      <c r="E89" s="3">
        <v>3.38</v>
      </c>
      <c r="F89" s="3">
        <v>4.4000000000000004</v>
      </c>
      <c r="G89" s="3">
        <v>2.5375000000000001</v>
      </c>
      <c r="H89" s="3">
        <v>4.06666666666667</v>
      </c>
      <c r="I89" s="3">
        <v>3.05555555555555</v>
      </c>
      <c r="J89" s="3">
        <v>1.8875</v>
      </c>
      <c r="K89" s="3">
        <v>2.91</v>
      </c>
      <c r="L89" s="3">
        <v>3.1749999999999998</v>
      </c>
      <c r="M89" s="3">
        <v>4.4000000000000004</v>
      </c>
      <c r="N89" s="3">
        <v>3.3555555555555601</v>
      </c>
      <c r="O89" s="3">
        <v>1.825</v>
      </c>
      <c r="P89" s="3">
        <v>2.48</v>
      </c>
      <c r="Q89" s="3">
        <v>2.3875000000000002</v>
      </c>
      <c r="R89" s="3">
        <v>4.1555555555555497</v>
      </c>
      <c r="S89" s="3">
        <v>3.7333333333333401</v>
      </c>
      <c r="T89" s="3">
        <v>2.1875</v>
      </c>
      <c r="U89" s="3">
        <v>2.23</v>
      </c>
      <c r="V89" s="3">
        <v>3.0249999999999999</v>
      </c>
      <c r="W89" s="3">
        <v>3.9666666666666699</v>
      </c>
      <c r="X89" s="3">
        <v>2.8222222222222202</v>
      </c>
      <c r="Y89" s="3">
        <v>2.0375000000000001</v>
      </c>
      <c r="Z89" s="3">
        <v>2.92</v>
      </c>
      <c r="AA89" s="3">
        <v>2.6375000000000002</v>
      </c>
      <c r="AB89" s="3">
        <v>3.4888888888888898</v>
      </c>
      <c r="AC89" s="3">
        <v>3.7</v>
      </c>
      <c r="AD89" s="3">
        <v>1.9875</v>
      </c>
      <c r="AE89" s="3">
        <v>2.0499999999999998</v>
      </c>
    </row>
    <row r="90" spans="1:31" x14ac:dyDescent="0.2">
      <c r="A90" s="3">
        <v>87894</v>
      </c>
      <c r="B90" s="3">
        <v>3.5</v>
      </c>
      <c r="C90" s="3">
        <v>5</v>
      </c>
      <c r="D90" s="3">
        <v>5</v>
      </c>
      <c r="E90" s="3">
        <v>1.5</v>
      </c>
      <c r="F90" s="3">
        <v>4.4000000000000004</v>
      </c>
      <c r="G90" s="3">
        <v>3.1749999999999998</v>
      </c>
      <c r="H90" s="3">
        <v>4.7444444444444498</v>
      </c>
      <c r="I90" s="3">
        <v>3.6666666666666701</v>
      </c>
      <c r="J90" s="3">
        <v>1.1125</v>
      </c>
      <c r="K90" s="3">
        <v>2.2999999999999998</v>
      </c>
      <c r="L90" s="3">
        <v>2.5249999999999999</v>
      </c>
      <c r="M90" s="3">
        <v>4.6555555555555603</v>
      </c>
      <c r="N90" s="3">
        <v>3.8333333333333299</v>
      </c>
      <c r="O90" s="3">
        <v>1</v>
      </c>
      <c r="P90" s="3">
        <v>2.4900000000000002</v>
      </c>
      <c r="Q90" s="3">
        <v>2.4874999999999998</v>
      </c>
      <c r="R90" s="3">
        <v>4.4888888888888898</v>
      </c>
      <c r="S90" s="3">
        <v>3.9888888888888898</v>
      </c>
      <c r="T90" s="3">
        <v>1</v>
      </c>
      <c r="U90" s="3">
        <v>2.4300000000000002</v>
      </c>
      <c r="V90" s="3">
        <v>3.2749999999999999</v>
      </c>
      <c r="W90" s="3">
        <v>4.7</v>
      </c>
      <c r="X90" s="3">
        <v>3.4111111111111101</v>
      </c>
      <c r="Y90" s="3">
        <v>1.425</v>
      </c>
      <c r="Z90" s="3">
        <v>2.1800000000000002</v>
      </c>
      <c r="AA90" s="3">
        <v>3.7875000000000001</v>
      </c>
      <c r="AB90" s="3">
        <v>5</v>
      </c>
      <c r="AC90" s="3">
        <v>4.0888888888888903</v>
      </c>
      <c r="AD90" s="3">
        <v>1.7375</v>
      </c>
      <c r="AE90" s="3">
        <v>2.2599999999999998</v>
      </c>
    </row>
    <row r="91" spans="1:31" x14ac:dyDescent="0.2">
      <c r="A91" s="3">
        <v>88807</v>
      </c>
      <c r="B91" s="3">
        <v>3.88</v>
      </c>
      <c r="C91" s="3">
        <v>4.33</v>
      </c>
      <c r="D91" s="3">
        <v>4.1100000000000003</v>
      </c>
      <c r="E91" s="3">
        <v>2.13</v>
      </c>
      <c r="F91" s="3">
        <v>3.9</v>
      </c>
      <c r="G91" s="3">
        <v>3.2625000000000002</v>
      </c>
      <c r="H91" s="3">
        <v>4.0222222222222204</v>
      </c>
      <c r="I91" s="3">
        <v>3.06666666666667</v>
      </c>
      <c r="J91" s="3">
        <v>2.2999999999999998</v>
      </c>
      <c r="K91" s="3">
        <v>3.67</v>
      </c>
      <c r="L91" s="3">
        <v>3.3374999999999999</v>
      </c>
      <c r="M91" s="3">
        <v>3.7</v>
      </c>
      <c r="N91" s="3">
        <v>2.6555555555555599</v>
      </c>
      <c r="O91" s="3">
        <v>3</v>
      </c>
      <c r="P91" s="3">
        <v>3.75</v>
      </c>
      <c r="Q91" s="3">
        <v>3.2</v>
      </c>
      <c r="R91" s="3">
        <v>3.8666666666666698</v>
      </c>
      <c r="S91" s="3">
        <v>2.1777777777777798</v>
      </c>
      <c r="T91" s="3">
        <v>3.2124999999999999</v>
      </c>
      <c r="U91" s="3">
        <v>3.92</v>
      </c>
      <c r="V91" s="3">
        <v>4</v>
      </c>
      <c r="W91" s="3">
        <v>4.2777777777777803</v>
      </c>
      <c r="X91" s="3">
        <v>2.3888888888888902</v>
      </c>
      <c r="Y91" s="3">
        <v>2.6749999999999998</v>
      </c>
      <c r="Z91" s="3">
        <v>4.01</v>
      </c>
      <c r="AA91" s="3">
        <v>3.125</v>
      </c>
      <c r="AB91" s="3">
        <v>3.8444444444444499</v>
      </c>
      <c r="AC91" s="3">
        <v>2.1777777777777798</v>
      </c>
      <c r="AD91" s="3">
        <v>3.875</v>
      </c>
      <c r="AE91" s="3">
        <v>3.11</v>
      </c>
    </row>
    <row r="92" spans="1:31" x14ac:dyDescent="0.2">
      <c r="A92" s="3">
        <v>91927</v>
      </c>
      <c r="B92" s="3">
        <v>4.88</v>
      </c>
      <c r="C92" s="3">
        <v>4.8899999999999997</v>
      </c>
      <c r="D92" s="3">
        <v>4.8899999999999997</v>
      </c>
      <c r="E92" s="3">
        <v>1.38</v>
      </c>
      <c r="F92" s="3">
        <v>4.7</v>
      </c>
      <c r="G92" s="3">
        <v>3.5</v>
      </c>
      <c r="H92" s="3">
        <v>4.4555555555555504</v>
      </c>
      <c r="I92" s="3">
        <v>4.1111111111111098</v>
      </c>
      <c r="J92" s="3">
        <v>1.65</v>
      </c>
      <c r="K92" s="3">
        <v>3.25</v>
      </c>
      <c r="L92" s="3">
        <v>2.5874999999999999</v>
      </c>
      <c r="M92" s="3">
        <v>4.4222222222222198</v>
      </c>
      <c r="N92" s="3">
        <v>3.9888888888888898</v>
      </c>
      <c r="O92" s="3">
        <v>1.5249999999999999</v>
      </c>
      <c r="P92" s="3">
        <v>2.63</v>
      </c>
      <c r="Q92" s="3">
        <v>2.9874999999999998</v>
      </c>
      <c r="R92" s="3">
        <v>4.5</v>
      </c>
      <c r="S92" s="3">
        <v>4.06666666666667</v>
      </c>
      <c r="T92" s="3">
        <v>1.7625</v>
      </c>
      <c r="U92" s="3">
        <v>3.03</v>
      </c>
      <c r="V92" s="3">
        <v>3.8624999999999998</v>
      </c>
      <c r="W92" s="3">
        <v>4.6111111111111098</v>
      </c>
      <c r="X92" s="3">
        <v>4.31111111111111</v>
      </c>
      <c r="Y92" s="3">
        <v>1.4875</v>
      </c>
      <c r="Z92" s="3">
        <v>3.8</v>
      </c>
      <c r="AA92" s="3">
        <v>3.7875000000000001</v>
      </c>
      <c r="AB92" s="3">
        <v>4.3555555555555499</v>
      </c>
      <c r="AC92" s="3">
        <v>4.0888888888888903</v>
      </c>
      <c r="AD92" s="3">
        <v>2.0249999999999999</v>
      </c>
      <c r="AE92" s="3">
        <v>3.19</v>
      </c>
    </row>
    <row r="93" spans="1:31" x14ac:dyDescent="0.2">
      <c r="A93" s="3">
        <v>92023</v>
      </c>
      <c r="B93" s="3">
        <v>4.5</v>
      </c>
      <c r="C93" s="3">
        <v>4.8899999999999997</v>
      </c>
      <c r="D93" s="3">
        <v>4.8899999999999997</v>
      </c>
      <c r="E93" s="3">
        <v>1.75</v>
      </c>
      <c r="F93" s="3">
        <v>4.7</v>
      </c>
      <c r="G93" s="3">
        <v>4.5</v>
      </c>
      <c r="H93" s="3">
        <v>4.7444444444444498</v>
      </c>
      <c r="I93" s="3">
        <v>3.0222222222222199</v>
      </c>
      <c r="J93" s="3">
        <v>1.4750000000000001</v>
      </c>
      <c r="K93" s="3">
        <v>3.77</v>
      </c>
      <c r="L93" s="3">
        <v>3.9</v>
      </c>
      <c r="M93" s="3">
        <v>5</v>
      </c>
      <c r="N93" s="3">
        <v>3.8555555555555601</v>
      </c>
      <c r="O93" s="3">
        <v>1.05</v>
      </c>
      <c r="P93" s="3">
        <v>4.0599999999999996</v>
      </c>
      <c r="Q93" s="3">
        <v>3.0625</v>
      </c>
      <c r="R93" s="3">
        <v>4.8222222222222202</v>
      </c>
      <c r="S93" s="3">
        <v>3.12222222222222</v>
      </c>
      <c r="T93" s="3">
        <v>1.4</v>
      </c>
      <c r="U93" s="3">
        <v>3.7</v>
      </c>
      <c r="V93" s="3">
        <v>4.3</v>
      </c>
      <c r="W93" s="3">
        <v>4.8222222222222202</v>
      </c>
      <c r="X93" s="3">
        <v>2.6555555555555599</v>
      </c>
      <c r="Y93" s="3">
        <v>1.625</v>
      </c>
      <c r="Z93" s="3">
        <v>4.0999999999999996</v>
      </c>
      <c r="AA93" s="3">
        <v>2.9874999999999998</v>
      </c>
      <c r="AB93" s="3">
        <v>4.6333333333333302</v>
      </c>
      <c r="AC93" s="3">
        <v>3.25555555555556</v>
      </c>
      <c r="AD93" s="3">
        <v>4.0250000000000004</v>
      </c>
      <c r="AE93" s="3">
        <v>3.43</v>
      </c>
    </row>
    <row r="94" spans="1:31" x14ac:dyDescent="0.2">
      <c r="A94" s="3">
        <v>93346</v>
      </c>
      <c r="B94" s="3">
        <v>4.13</v>
      </c>
      <c r="C94" s="3">
        <v>4.4400000000000004</v>
      </c>
      <c r="D94" s="3">
        <v>4.4400000000000004</v>
      </c>
      <c r="E94" s="3">
        <v>1.38</v>
      </c>
      <c r="F94" s="3">
        <v>4.5</v>
      </c>
      <c r="G94" s="3">
        <v>3.875</v>
      </c>
      <c r="H94" s="3">
        <v>3.2777777777777799</v>
      </c>
      <c r="I94" s="3">
        <v>4.37777777777778</v>
      </c>
      <c r="J94" s="3">
        <v>3.6</v>
      </c>
      <c r="K94" s="3">
        <v>3.26</v>
      </c>
      <c r="L94" s="3">
        <v>3.7124999999999999</v>
      </c>
      <c r="M94" s="3">
        <v>3.3555555555555499</v>
      </c>
      <c r="N94" s="3">
        <v>4.2666666666666604</v>
      </c>
      <c r="O94" s="3">
        <v>3.6124999999999998</v>
      </c>
      <c r="P94" s="3">
        <v>3.5</v>
      </c>
      <c r="Q94" s="3">
        <v>3.2124999999999999</v>
      </c>
      <c r="R94" s="3">
        <v>2.93333333333333</v>
      </c>
      <c r="S94" s="3">
        <v>4.1111111111111098</v>
      </c>
      <c r="T94" s="3">
        <v>3.4750000000000001</v>
      </c>
      <c r="U94" s="3">
        <v>2.97</v>
      </c>
      <c r="V94" s="3">
        <v>3.8374999999999999</v>
      </c>
      <c r="W94" s="3">
        <v>3.0333333333333301</v>
      </c>
      <c r="X94" s="3">
        <v>4.1111111111111098</v>
      </c>
      <c r="Y94" s="3">
        <v>3.5750000000000002</v>
      </c>
      <c r="Z94" s="3">
        <v>3.39</v>
      </c>
      <c r="AA94" s="3">
        <v>4.3624999999999998</v>
      </c>
      <c r="AB94" s="3">
        <v>3.0111111111111102</v>
      </c>
      <c r="AC94" s="3">
        <v>4.7888888888888896</v>
      </c>
      <c r="AD94" s="3">
        <v>3.4249999999999998</v>
      </c>
      <c r="AE94" s="3">
        <v>2.83</v>
      </c>
    </row>
    <row r="95" spans="1:31" x14ac:dyDescent="0.2">
      <c r="A95" s="3">
        <v>93826</v>
      </c>
      <c r="B95" s="3">
        <v>3.5</v>
      </c>
      <c r="C95" s="3">
        <v>3.78</v>
      </c>
      <c r="D95" s="3">
        <v>2.78</v>
      </c>
      <c r="E95" s="3">
        <v>2.5</v>
      </c>
      <c r="F95" s="3">
        <v>3.8</v>
      </c>
      <c r="G95" s="3">
        <v>2.3624999999999998</v>
      </c>
      <c r="H95" s="3">
        <v>4.24444444444444</v>
      </c>
      <c r="I95" s="3">
        <v>3.6333333333333302</v>
      </c>
      <c r="J95" s="3">
        <v>1</v>
      </c>
      <c r="K95" s="3">
        <v>1.93</v>
      </c>
      <c r="L95" s="3">
        <v>2.3624999999999998</v>
      </c>
      <c r="M95" s="3">
        <v>4.3777777777777702</v>
      </c>
      <c r="N95" s="3">
        <v>3.6</v>
      </c>
      <c r="O95" s="3">
        <v>1</v>
      </c>
      <c r="P95" s="3">
        <v>1.96</v>
      </c>
      <c r="Q95" s="3">
        <v>2.2625000000000002</v>
      </c>
      <c r="R95" s="3">
        <v>4.2222222222222197</v>
      </c>
      <c r="S95" s="3">
        <v>3.4444444444444402</v>
      </c>
      <c r="T95" s="3">
        <v>1.25</v>
      </c>
      <c r="U95" s="3">
        <v>2</v>
      </c>
      <c r="V95" s="3">
        <v>3.875</v>
      </c>
      <c r="W95" s="3">
        <v>4.5111111111111102</v>
      </c>
      <c r="X95" s="3">
        <v>3</v>
      </c>
      <c r="Y95" s="3">
        <v>1.0125</v>
      </c>
      <c r="Z95" s="3">
        <v>2.2599999999999998</v>
      </c>
      <c r="AA95" s="3">
        <v>3.9</v>
      </c>
      <c r="AB95" s="3">
        <v>4.3666666666666698</v>
      </c>
      <c r="AC95" s="3">
        <v>3.1111111111111098</v>
      </c>
      <c r="AD95" s="3">
        <v>1.5249999999999999</v>
      </c>
      <c r="AE95" s="3">
        <v>2.2400000000000002</v>
      </c>
    </row>
    <row r="96" spans="1:31" x14ac:dyDescent="0.2">
      <c r="A96" s="3">
        <v>93940</v>
      </c>
      <c r="B96" s="3">
        <v>3.25</v>
      </c>
      <c r="C96" s="3">
        <v>3.89</v>
      </c>
      <c r="D96" s="3">
        <v>4</v>
      </c>
      <c r="E96" s="3">
        <v>4</v>
      </c>
      <c r="F96" s="3">
        <v>2.5</v>
      </c>
      <c r="G96" s="3">
        <v>3.7374999999999998</v>
      </c>
      <c r="H96" s="3">
        <v>4.06666666666667</v>
      </c>
      <c r="I96" s="3">
        <v>2.2555555555555502</v>
      </c>
      <c r="J96" s="3">
        <v>1.7875000000000001</v>
      </c>
      <c r="K96" s="3">
        <v>2.83</v>
      </c>
      <c r="L96" s="3">
        <v>3.8125</v>
      </c>
      <c r="M96" s="3">
        <v>3.9555555555555602</v>
      </c>
      <c r="N96" s="3">
        <v>2.1666666666666599</v>
      </c>
      <c r="O96" s="3">
        <v>1.8125</v>
      </c>
      <c r="P96" s="3">
        <v>2.7</v>
      </c>
      <c r="Q96" s="3">
        <v>3.85</v>
      </c>
      <c r="R96" s="3">
        <v>4.12222222222222</v>
      </c>
      <c r="S96" s="3">
        <v>2.1333333333333302</v>
      </c>
      <c r="T96" s="3">
        <v>1.8875</v>
      </c>
      <c r="U96" s="3">
        <v>2.74</v>
      </c>
      <c r="V96" s="3">
        <v>4.3499999999999996</v>
      </c>
      <c r="W96" s="3">
        <v>4.0555555555555598</v>
      </c>
      <c r="X96" s="3">
        <v>2.12222222222222</v>
      </c>
      <c r="Y96" s="3">
        <v>1.8125</v>
      </c>
      <c r="Z96" s="3">
        <v>2.81</v>
      </c>
      <c r="AA96" s="3">
        <v>3.8624999999999998</v>
      </c>
      <c r="AB96" s="3">
        <v>4.2666666666666604</v>
      </c>
      <c r="AC96" s="3">
        <v>2.3333333333333299</v>
      </c>
      <c r="AD96" s="3">
        <v>1.925</v>
      </c>
      <c r="AE96" s="3">
        <v>3.21</v>
      </c>
    </row>
    <row r="97" spans="1:31" x14ac:dyDescent="0.2">
      <c r="A97" s="3">
        <v>96154</v>
      </c>
      <c r="B97" s="3">
        <v>4.25</v>
      </c>
      <c r="C97" s="3">
        <v>4</v>
      </c>
      <c r="D97" s="3">
        <v>4.22</v>
      </c>
      <c r="E97" s="3">
        <v>1.38</v>
      </c>
      <c r="F97" s="3">
        <v>3.7</v>
      </c>
      <c r="G97" s="3">
        <v>3.5625</v>
      </c>
      <c r="H97" s="3">
        <v>4.1333333333333302</v>
      </c>
      <c r="I97" s="3">
        <v>2.43333333333333</v>
      </c>
      <c r="J97" s="3">
        <v>1.6625000000000001</v>
      </c>
      <c r="K97" s="3">
        <v>2.99</v>
      </c>
      <c r="L97" s="3">
        <v>3.6</v>
      </c>
      <c r="M97" s="3">
        <v>4.0999999999999996</v>
      </c>
      <c r="N97" s="3">
        <v>3.06666666666667</v>
      </c>
      <c r="O97" s="3">
        <v>1.85</v>
      </c>
      <c r="P97" s="3">
        <v>3.06</v>
      </c>
      <c r="Q97" s="3">
        <v>3.625</v>
      </c>
      <c r="R97" s="3">
        <v>4.36666666666666</v>
      </c>
      <c r="S97" s="3">
        <v>3.0444444444444398</v>
      </c>
      <c r="T97" s="3">
        <v>1.875</v>
      </c>
      <c r="U97" s="3">
        <v>2.8</v>
      </c>
      <c r="V97" s="3">
        <v>3.9125000000000001</v>
      </c>
      <c r="W97" s="3">
        <v>4.0999999999999996</v>
      </c>
      <c r="X97" s="3">
        <v>2.1777777777777798</v>
      </c>
      <c r="Y97" s="3">
        <v>1.7</v>
      </c>
      <c r="Z97" s="3">
        <v>2.99</v>
      </c>
      <c r="AA97" s="3">
        <v>3.8250000000000002</v>
      </c>
      <c r="AB97" s="3">
        <v>4.3333333333333304</v>
      </c>
      <c r="AC97" s="3">
        <v>3.1111111111111098</v>
      </c>
      <c r="AD97" s="3">
        <v>1.875</v>
      </c>
      <c r="AE97" s="3">
        <v>3.68</v>
      </c>
    </row>
    <row r="98" spans="1:31" x14ac:dyDescent="0.2">
      <c r="A98" s="3">
        <v>96853</v>
      </c>
      <c r="B98" s="3">
        <v>1.38</v>
      </c>
      <c r="C98" s="3">
        <v>4.4400000000000004</v>
      </c>
      <c r="D98" s="3">
        <v>4.67</v>
      </c>
      <c r="E98" s="3">
        <v>2.88</v>
      </c>
      <c r="F98" s="3">
        <v>3.2</v>
      </c>
      <c r="G98" s="3">
        <v>2.625</v>
      </c>
      <c r="H98" s="3">
        <v>4.5333333333333297</v>
      </c>
      <c r="I98" s="3">
        <v>4.4222222222222198</v>
      </c>
      <c r="J98" s="3">
        <v>1.7124999999999999</v>
      </c>
      <c r="K98" s="3">
        <v>4.1500000000000004</v>
      </c>
      <c r="L98" s="3">
        <v>2.75</v>
      </c>
      <c r="M98" s="3">
        <v>4.4000000000000004</v>
      </c>
      <c r="N98" s="3">
        <v>4.1444444444444404</v>
      </c>
      <c r="O98" s="3">
        <v>1.875</v>
      </c>
      <c r="P98" s="3">
        <v>3.78</v>
      </c>
      <c r="Q98" s="3">
        <v>2.9874999999999998</v>
      </c>
      <c r="R98" s="3">
        <v>4.4666666666666597</v>
      </c>
      <c r="S98" s="3">
        <v>4.5444444444444496</v>
      </c>
      <c r="T98" s="3">
        <v>1.875</v>
      </c>
      <c r="U98" s="3">
        <v>3.68</v>
      </c>
      <c r="V98" s="3">
        <v>3.5125000000000002</v>
      </c>
      <c r="W98" s="3">
        <v>4.5</v>
      </c>
      <c r="X98" s="3">
        <v>4.3555555555555499</v>
      </c>
      <c r="Y98" s="3">
        <v>1.7625</v>
      </c>
      <c r="Z98" s="3">
        <v>3.96</v>
      </c>
      <c r="AA98" s="3">
        <v>3.1</v>
      </c>
      <c r="AB98" s="3">
        <v>3.93333333333333</v>
      </c>
      <c r="AC98" s="3">
        <v>4</v>
      </c>
      <c r="AD98" s="3">
        <v>2.9874999999999998</v>
      </c>
      <c r="AE98" s="3">
        <v>3.84</v>
      </c>
    </row>
    <row r="99" spans="1:31" x14ac:dyDescent="0.2">
      <c r="A99" s="3">
        <v>97913</v>
      </c>
      <c r="B99" s="3">
        <v>2.88</v>
      </c>
      <c r="C99" s="3">
        <v>3</v>
      </c>
      <c r="D99" s="3">
        <v>3.78</v>
      </c>
      <c r="E99" s="3">
        <v>3.13</v>
      </c>
      <c r="F99" s="3">
        <v>3</v>
      </c>
      <c r="G99" s="3">
        <v>2.25</v>
      </c>
      <c r="H99" s="3">
        <v>3.3555555555555499</v>
      </c>
      <c r="I99" s="3">
        <v>3.44444444444445</v>
      </c>
      <c r="J99" s="3">
        <v>1.6625000000000001</v>
      </c>
      <c r="K99" s="3">
        <v>2.4300000000000002</v>
      </c>
      <c r="L99" s="3">
        <v>2.15</v>
      </c>
      <c r="M99" s="3">
        <v>3.2777777777777799</v>
      </c>
      <c r="N99" s="3">
        <v>2.8333333333333299</v>
      </c>
      <c r="O99" s="3">
        <v>1.6125</v>
      </c>
      <c r="P99" s="3">
        <v>2.4</v>
      </c>
      <c r="Q99" s="3">
        <v>2.1</v>
      </c>
      <c r="R99" s="3">
        <v>3.0777777777777802</v>
      </c>
      <c r="S99" s="3">
        <v>2.3888888888888902</v>
      </c>
      <c r="T99" s="3">
        <v>2</v>
      </c>
      <c r="U99" s="3">
        <v>2.02</v>
      </c>
      <c r="V99" s="3">
        <v>2.6375000000000002</v>
      </c>
      <c r="W99" s="3">
        <v>3.4111111111111101</v>
      </c>
      <c r="X99" s="3">
        <v>3.0777777777777802</v>
      </c>
      <c r="Y99" s="3">
        <v>1.9</v>
      </c>
      <c r="Z99" s="3">
        <v>2.37</v>
      </c>
      <c r="AA99" s="3">
        <v>3.85</v>
      </c>
      <c r="AB99" s="3">
        <v>3.75555555555556</v>
      </c>
      <c r="AC99" s="3">
        <v>2.6666666666666701</v>
      </c>
      <c r="AD99" s="3">
        <v>1.9624999999999999</v>
      </c>
      <c r="AE99" s="3">
        <v>3.08</v>
      </c>
    </row>
    <row r="100" spans="1:31" x14ac:dyDescent="0.2">
      <c r="A100" s="3">
        <v>99709</v>
      </c>
      <c r="B100" s="3">
        <v>3.13</v>
      </c>
      <c r="C100" s="3">
        <v>4.8899999999999997</v>
      </c>
      <c r="D100" s="3">
        <v>5</v>
      </c>
      <c r="E100" s="3">
        <v>1.75</v>
      </c>
      <c r="F100" s="3">
        <v>4.3</v>
      </c>
      <c r="G100" s="3">
        <v>3.8374999999999999</v>
      </c>
      <c r="H100" s="3">
        <v>4.5333333333333297</v>
      </c>
      <c r="I100" s="3">
        <v>4.0888888888888903</v>
      </c>
      <c r="J100" s="3">
        <v>2.3624999999999998</v>
      </c>
      <c r="K100" s="3">
        <v>4.25</v>
      </c>
      <c r="L100" s="3">
        <v>3.7</v>
      </c>
      <c r="M100" s="3">
        <v>4.68888888888889</v>
      </c>
      <c r="N100" s="3">
        <v>4.0222222222222204</v>
      </c>
      <c r="O100" s="3">
        <v>2.3875000000000002</v>
      </c>
      <c r="P100" s="3">
        <v>4.3600000000000003</v>
      </c>
      <c r="Q100" s="3">
        <v>3.8125</v>
      </c>
      <c r="R100" s="3">
        <v>4.6333333333333302</v>
      </c>
      <c r="S100" s="3">
        <v>3.7111111111111099</v>
      </c>
      <c r="T100" s="3">
        <v>2.85</v>
      </c>
      <c r="U100" s="3">
        <v>4.4400000000000004</v>
      </c>
      <c r="V100" s="3">
        <v>4.0875000000000004</v>
      </c>
      <c r="W100" s="3">
        <v>4.4888888888888898</v>
      </c>
      <c r="X100" s="3">
        <v>4.0777777777777802</v>
      </c>
      <c r="Y100" s="3">
        <v>2.2625000000000002</v>
      </c>
      <c r="Z100" s="3">
        <v>4.47</v>
      </c>
      <c r="AA100" s="3">
        <v>3.0874999999999999</v>
      </c>
      <c r="AB100" s="3">
        <v>4.24444444444444</v>
      </c>
      <c r="AC100" s="3">
        <v>4.1111111111111098</v>
      </c>
      <c r="AD100" s="3">
        <v>2.6375000000000002</v>
      </c>
      <c r="AE100" s="3">
        <v>4.41</v>
      </c>
    </row>
  </sheetData>
  <autoFilter ref="A1:AE100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workbookViewId="0">
      <pane xSplit="2" ySplit="1" topLeftCell="C9" activePane="bottomRight" state="frozen"/>
      <selection pane="topRight"/>
      <selection pane="bottomLeft"/>
      <selection pane="bottomRight" activeCell="B46" sqref="B46"/>
    </sheetView>
  </sheetViews>
  <sheetFormatPr baseColWidth="10" defaultColWidth="8.83203125" defaultRowHeight="15" x14ac:dyDescent="0.2"/>
  <cols>
    <col min="1" max="1" width="18" customWidth="1"/>
    <col min="2" max="2" width="21.6640625" customWidth="1"/>
    <col min="3" max="3" width="6" customWidth="1"/>
    <col min="4" max="6" width="8" customWidth="1"/>
    <col min="7" max="7" width="13" customWidth="1"/>
    <col min="8" max="8" width="11" customWidth="1"/>
    <col min="9" max="9" width="8" customWidth="1"/>
    <col min="10" max="11" width="10" customWidth="1"/>
  </cols>
  <sheetData>
    <row r="1" spans="1:9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1" t="s">
        <v>7</v>
      </c>
      <c r="I1" s="6" t="s">
        <v>8</v>
      </c>
    </row>
    <row r="2" spans="1:9" x14ac:dyDescent="0.2">
      <c r="A2" s="3" t="s">
        <v>9</v>
      </c>
      <c r="B2" s="3" t="s">
        <v>10</v>
      </c>
      <c r="C2" s="7">
        <f>COUNT('BFI Scores'!$G$2:$G$100)</f>
        <v>99</v>
      </c>
      <c r="D2" s="8">
        <f>CORREL('BFI Scores'!$G$2:$G$100,'BFI Scores'!$B$2:$B$100)</f>
        <v>0.38584755392488079</v>
      </c>
      <c r="E2" s="9">
        <f>FISHERINV(FISHER(D2)-NORMSINV(0.975)/SQRT(C2-3))</f>
        <v>0.20397248935597395</v>
      </c>
      <c r="F2" s="9">
        <f>FISHERINV(FISHER(D2)+NORMSINV(0.975)/SQRT(C2-3))</f>
        <v>0.54197655463623817</v>
      </c>
      <c r="G2" s="10">
        <f>TDIST(ABS(D2)*SQRT((C2-2)/(1-D2^2)),C2-2,2)</f>
        <v>8.0050041108762493E-5</v>
      </c>
      <c r="H2" s="22">
        <v>2.4015012332628119E-4</v>
      </c>
      <c r="I2" s="23" t="s">
        <v>11</v>
      </c>
    </row>
    <row r="3" spans="1:9" x14ac:dyDescent="0.2">
      <c r="A3" s="3" t="s">
        <v>9</v>
      </c>
      <c r="B3" s="3" t="s">
        <v>12</v>
      </c>
      <c r="C3" s="7">
        <f>COUNT('BFI Scores'!$H$2:$H$100)</f>
        <v>99</v>
      </c>
      <c r="D3" s="8">
        <f>CORREL('BFI Scores'!$H$2:$H$100,'BFI Scores'!$C$2:$C$100)</f>
        <v>0.4169485768571593</v>
      </c>
      <c r="E3" s="9">
        <f>FISHERINV(FISHER(D3)-NORMSINV(0.975)/SQRT(C3-3))</f>
        <v>0.23922772289581182</v>
      </c>
      <c r="F3" s="9">
        <f>FISHERINV(FISHER(D3)+NORMSINV(0.975)/SQRT(C3-3))</f>
        <v>0.5676378063195564</v>
      </c>
      <c r="G3" s="10">
        <f>TDIST(ABS(D3)*SQRT((C3-2)/(1-D3^2)),C3-2,2)</f>
        <v>1.7618902390822751E-5</v>
      </c>
      <c r="H3" s="22">
        <v>7.0475609563289213E-5</v>
      </c>
      <c r="I3" s="23" t="s">
        <v>11</v>
      </c>
    </row>
    <row r="4" spans="1:9" x14ac:dyDescent="0.2">
      <c r="A4" s="3" t="s">
        <v>9</v>
      </c>
      <c r="B4" s="3" t="s">
        <v>13</v>
      </c>
      <c r="C4" s="7">
        <f>COUNT('BFI Scores'!$I$2:$I$100)</f>
        <v>99</v>
      </c>
      <c r="D4" s="8">
        <f>CORREL('BFI Scores'!$I$2:$I$100,'BFI Scores'!$D$2:$D$100)</f>
        <v>0.24780056560182467</v>
      </c>
      <c r="E4" s="9">
        <f>FISHERINV(FISHER(D4)-NORMSINV(0.975)/SQRT(C4-3))</f>
        <v>5.2980478406545031E-2</v>
      </c>
      <c r="F4" s="9">
        <f>FISHERINV(FISHER(D4)+NORMSINV(0.975)/SQRT(C4-3))</f>
        <v>0.42444887843628576</v>
      </c>
      <c r="G4" s="10">
        <f>TDIST(ABS(D4)*SQRT((C4-2)/(1-D4^2)),C4-2,2)</f>
        <v>1.3399522361965718E-2</v>
      </c>
      <c r="H4" s="22">
        <v>1.3399522361965359E-2</v>
      </c>
      <c r="I4" s="23" t="s">
        <v>14</v>
      </c>
    </row>
    <row r="5" spans="1:9" x14ac:dyDescent="0.2">
      <c r="A5" s="3" t="s">
        <v>9</v>
      </c>
      <c r="B5" s="3" t="s">
        <v>15</v>
      </c>
      <c r="C5" s="7">
        <f>COUNT('BFI Scores'!$J$2:$J$100)</f>
        <v>99</v>
      </c>
      <c r="D5" s="8">
        <f>CORREL('BFI Scores'!$J$2:$J$100,'BFI Scores'!$E$2:$E$100)</f>
        <v>0.46517300447245891</v>
      </c>
      <c r="E5" s="9">
        <f>FISHERINV(FISHER(D5)-NORMSINV(0.975)/SQRT(C5-3))</f>
        <v>0.29483617630086678</v>
      </c>
      <c r="F5" s="9">
        <f>FISHERINV(FISHER(D5)+NORMSINV(0.975)/SQRT(C5-3))</f>
        <v>0.60685677726146514</v>
      </c>
      <c r="G5" s="10">
        <f>TDIST(ABS(D5)*SQRT((C5-2)/(1-D5^2)),C5-2,2)</f>
        <v>1.2277555014252488E-6</v>
      </c>
      <c r="H5" s="22">
        <v>6.1387775071262082E-6</v>
      </c>
      <c r="I5" s="23" t="s">
        <v>11</v>
      </c>
    </row>
    <row r="6" spans="1:9" x14ac:dyDescent="0.2">
      <c r="A6" s="3" t="s">
        <v>9</v>
      </c>
      <c r="B6" s="3" t="s">
        <v>16</v>
      </c>
      <c r="C6" s="7">
        <f>COUNT('BFI Scores'!$K$2:$K$100)</f>
        <v>99</v>
      </c>
      <c r="D6" s="8">
        <f>CORREL('BFI Scores'!$K$2:$K$100,'BFI Scores'!$F$2:$F$100)</f>
        <v>0.32899896720570954</v>
      </c>
      <c r="E6" s="9">
        <f>FISHERINV(FISHER(D6)-NORMSINV(0.975)/SQRT(C6-3))</f>
        <v>0.14072712638451301</v>
      </c>
      <c r="F6" s="9">
        <f>FISHERINV(FISHER(D6)+NORMSINV(0.975)/SQRT(C6-3))</f>
        <v>0.49430643742981112</v>
      </c>
      <c r="G6" s="10">
        <f>TDIST(ABS(D6)*SQRT((C6-2)/(1-D6^2)),C6-2,2)</f>
        <v>8.8419727259244599E-4</v>
      </c>
      <c r="H6" s="22">
        <v>1.7683945451848601E-3</v>
      </c>
      <c r="I6" s="23" t="s">
        <v>17</v>
      </c>
    </row>
    <row r="7" spans="1:9" x14ac:dyDescent="0.2">
      <c r="A7" s="2" t="s">
        <v>9</v>
      </c>
      <c r="B7" s="2" t="s">
        <v>18</v>
      </c>
      <c r="D7" s="11">
        <f>AVERAGE(D2:D6)</f>
        <v>0.36895373361240669</v>
      </c>
      <c r="I7" s="17" t="str">
        <f>COUNTIF(I2:I6,"&lt;&gt;ns")&amp;" of 5 sig."</f>
        <v>5 of 5 sig.</v>
      </c>
    </row>
    <row r="8" spans="1:9" x14ac:dyDescent="0.2">
      <c r="B8" s="3" t="s">
        <v>19</v>
      </c>
      <c r="D8">
        <f>_xlfn.STDEV.S(D2:D6)</f>
        <v>8.3847372805134046E-2</v>
      </c>
    </row>
    <row r="9" spans="1:9" x14ac:dyDescent="0.2">
      <c r="A9" s="3" t="s">
        <v>20</v>
      </c>
      <c r="B9" s="3" t="s">
        <v>10</v>
      </c>
      <c r="C9" s="7">
        <f>COUNT('BFI Scores'!$L$2:$L$100)</f>
        <v>99</v>
      </c>
      <c r="D9" s="8">
        <f>CORREL('BFI Scores'!$L$2:$L$100,'BFI Scores'!$B$2:$B$100)</f>
        <v>0.26020188950869932</v>
      </c>
      <c r="E9" s="9">
        <f>FISHERINV(FISHER(D9)-NORMSINV(0.975)/SQRT(C9-3))</f>
        <v>6.6190042166483512E-2</v>
      </c>
      <c r="F9" s="9">
        <f>FISHERINV(FISHER(D9)+NORMSINV(0.975)/SQRT(C9-3))</f>
        <v>0.43525595388775312</v>
      </c>
      <c r="G9" s="10">
        <f>TDIST(ABS(D9)*SQRT((C9-2)/(1-D9^2)),C9-2,2)</f>
        <v>9.2935522972353614E-3</v>
      </c>
      <c r="H9" s="22">
        <v>1.858710459447022E-2</v>
      </c>
      <c r="I9" s="23" t="s">
        <v>14</v>
      </c>
    </row>
    <row r="10" spans="1:9" x14ac:dyDescent="0.2">
      <c r="A10" s="3" t="s">
        <v>20</v>
      </c>
      <c r="B10" s="3" t="s">
        <v>12</v>
      </c>
      <c r="C10" s="7">
        <f>COUNT('BFI Scores'!$M$2:$M$100)</f>
        <v>99</v>
      </c>
      <c r="D10" s="8">
        <f>CORREL('BFI Scores'!$M$2:$M$100,'BFI Scores'!$C$2:$C$100)</f>
        <v>0.39332321600117748</v>
      </c>
      <c r="E10" s="9">
        <f>FISHERINV(FISHER(D10)-NORMSINV(0.975)/SQRT(C10-3))</f>
        <v>0.21240383670483939</v>
      </c>
      <c r="F10" s="9">
        <f>FISHERINV(FISHER(D10)+NORMSINV(0.975)/SQRT(C10-3))</f>
        <v>0.54817136966514135</v>
      </c>
      <c r="G10" s="10">
        <f>TDIST(ABS(D10)*SQRT((C10-2)/(1-D10^2)),C10-2,2)</f>
        <v>5.6398562580553789E-5</v>
      </c>
      <c r="H10" s="22">
        <v>2.2559425032220941E-4</v>
      </c>
      <c r="I10" s="23" t="s">
        <v>11</v>
      </c>
    </row>
    <row r="11" spans="1:9" x14ac:dyDescent="0.2">
      <c r="A11" s="3" t="s">
        <v>20</v>
      </c>
      <c r="B11" s="3" t="s">
        <v>13</v>
      </c>
      <c r="C11" s="7">
        <f>COUNT('BFI Scores'!$N$2:$N$100)</f>
        <v>99</v>
      </c>
      <c r="D11" s="8">
        <f>CORREL('BFI Scores'!$N$2:$N$100,'BFI Scores'!$D$2:$D$100)</f>
        <v>0.18574089942630589</v>
      </c>
      <c r="E11" s="9">
        <f>FISHERINV(FISHER(D11)-NORMSINV(0.975)/SQRT(C11-3))</f>
        <v>-1.2115159195247083E-2</v>
      </c>
      <c r="F11" s="9">
        <f>FISHERINV(FISHER(D11)+NORMSINV(0.975)/SQRT(C11-3))</f>
        <v>0.36960042100699964</v>
      </c>
      <c r="G11" s="10">
        <f>TDIST(ABS(D11)*SQRT((C11-2)/(1-D11^2)),C11-2,2)</f>
        <v>6.5668556182508997E-2</v>
      </c>
      <c r="H11" s="22">
        <v>6.566855618250747E-2</v>
      </c>
      <c r="I11" s="23" t="s">
        <v>21</v>
      </c>
    </row>
    <row r="12" spans="1:9" x14ac:dyDescent="0.2">
      <c r="A12" s="3" t="s">
        <v>20</v>
      </c>
      <c r="B12" s="3" t="s">
        <v>15</v>
      </c>
      <c r="C12" s="7">
        <f>COUNT('BFI Scores'!$O$2:$O$100)</f>
        <v>99</v>
      </c>
      <c r="D12" s="8">
        <f>CORREL('BFI Scores'!$O$2:$O$100,'BFI Scores'!$E$2:$E$100)</f>
        <v>0.4008196090853598</v>
      </c>
      <c r="E12" s="9">
        <f>FISHERINV(FISHER(D12)-NORMSINV(0.975)/SQRT(C12-3))</f>
        <v>0.22088570183324099</v>
      </c>
      <c r="F12" s="9">
        <f>FISHERINV(FISHER(D12)+NORMSINV(0.975)/SQRT(C12-3))</f>
        <v>0.55436634947507746</v>
      </c>
      <c r="G12" s="10">
        <f>TDIST(ABS(D12)*SQRT((C12-2)/(1-D12^2)),C12-2,2)</f>
        <v>3.935928443597003E-5</v>
      </c>
      <c r="H12" s="22">
        <v>1.9679642217984789E-4</v>
      </c>
      <c r="I12" s="23" t="s">
        <v>11</v>
      </c>
    </row>
    <row r="13" spans="1:9" x14ac:dyDescent="0.2">
      <c r="A13" s="3" t="s">
        <v>20</v>
      </c>
      <c r="B13" s="3" t="s">
        <v>16</v>
      </c>
      <c r="C13" s="7">
        <f>COUNT('BFI Scores'!$P$2:$P$100)</f>
        <v>99</v>
      </c>
      <c r="D13" s="8">
        <f>CORREL('BFI Scores'!$P$2:$P$100,'BFI Scores'!$F$2:$F$100)</f>
        <v>0.30835376375863255</v>
      </c>
      <c r="E13" s="9">
        <f>FISHERINV(FISHER(D13)-NORMSINV(0.975)/SQRT(C13-3))</f>
        <v>0.11813301002088299</v>
      </c>
      <c r="F13" s="9">
        <f>FISHERINV(FISHER(D13)+NORMSINV(0.975)/SQRT(C13-3))</f>
        <v>0.47674485358828039</v>
      </c>
      <c r="G13" s="10">
        <f>TDIST(ABS(D13)*SQRT((C13-2)/(1-D13^2)),C13-2,2)</f>
        <v>1.9018257346606088E-3</v>
      </c>
      <c r="H13" s="22">
        <v>5.7054772039816636E-3</v>
      </c>
      <c r="I13" s="23" t="s">
        <v>17</v>
      </c>
    </row>
    <row r="14" spans="1:9" x14ac:dyDescent="0.2">
      <c r="A14" s="2" t="s">
        <v>20</v>
      </c>
      <c r="B14" s="2" t="s">
        <v>18</v>
      </c>
      <c r="D14" s="11">
        <f>AVERAGE(D9:D13)</f>
        <v>0.30968787555603494</v>
      </c>
      <c r="I14" s="17" t="str">
        <f>COUNTIF(I9:I13,"&lt;&gt;ns")&amp;" of 5 sig."</f>
        <v>4 of 5 sig.</v>
      </c>
    </row>
    <row r="15" spans="1:9" x14ac:dyDescent="0.2">
      <c r="D15">
        <f>_xlfn.STDEV.S(D9:D13)</f>
        <v>9.0985381502337523E-2</v>
      </c>
    </row>
    <row r="16" spans="1:9" x14ac:dyDescent="0.2">
      <c r="A16" s="3" t="s">
        <v>22</v>
      </c>
      <c r="B16" s="3" t="s">
        <v>10</v>
      </c>
      <c r="C16" s="7">
        <f>COUNT('BFI Scores'!$Q$2:$Q$100)</f>
        <v>99</v>
      </c>
      <c r="D16" s="8">
        <f>CORREL('BFI Scores'!$Q$2:$Q$100,'BFI Scores'!$B$2:$B$100)</f>
        <v>0.15107697507868073</v>
      </c>
      <c r="E16" s="9">
        <f>FISHERINV(FISHER(D16)-NORMSINV(0.975)/SQRT(C16-3))</f>
        <v>-4.7759241386570742E-2</v>
      </c>
      <c r="F16" s="9">
        <f>FISHERINV(FISHER(D16)+NORMSINV(0.975)/SQRT(C16-3))</f>
        <v>0.33839634011978664</v>
      </c>
      <c r="G16" s="10">
        <f>TDIST(ABS(D16)*SQRT((C16-2)/(1-D16^2)),C16-2,2)</f>
        <v>0.13551889230440584</v>
      </c>
      <c r="H16" s="22">
        <v>0.27103778460885719</v>
      </c>
      <c r="I16" s="23" t="s">
        <v>21</v>
      </c>
    </row>
    <row r="17" spans="1:9" x14ac:dyDescent="0.2">
      <c r="A17" s="3" t="s">
        <v>22</v>
      </c>
      <c r="B17" s="3" t="s">
        <v>12</v>
      </c>
      <c r="C17" s="7">
        <f>COUNT('BFI Scores'!$R$2:$R$100)</f>
        <v>99</v>
      </c>
      <c r="D17" s="8">
        <f>CORREL('BFI Scores'!$R$2:$R$100,'BFI Scores'!$C$2:$C$100)</f>
        <v>0.20406586356429951</v>
      </c>
      <c r="E17" s="9">
        <f>FISHERINV(FISHER(D17)-NORMSINV(0.975)/SQRT(C17-3))</f>
        <v>6.9333469235944023E-3</v>
      </c>
      <c r="F17" s="9">
        <f>FISHERINV(FISHER(D17)+NORMSINV(0.975)/SQRT(C17-3))</f>
        <v>0.38593047525160284</v>
      </c>
      <c r="G17" s="10">
        <f>TDIST(ABS(D17)*SQRT((C17-2)/(1-D17^2)),C17-2,2)</f>
        <v>4.2763223189570924E-2</v>
      </c>
      <c r="H17" s="22">
        <v>0.12828966956871071</v>
      </c>
      <c r="I17" s="23" t="s">
        <v>21</v>
      </c>
    </row>
    <row r="18" spans="1:9" x14ac:dyDescent="0.2">
      <c r="A18" s="3" t="s">
        <v>22</v>
      </c>
      <c r="B18" s="3" t="s">
        <v>13</v>
      </c>
      <c r="C18" s="7">
        <f>COUNT('BFI Scores'!$S$2:$S$100)</f>
        <v>99</v>
      </c>
      <c r="D18" s="8">
        <f>CORREL('BFI Scores'!$S$2:$S$100,'BFI Scores'!$D$2:$D$100)</f>
        <v>8.4804914932257475E-2</v>
      </c>
      <c r="E18" s="9">
        <f>FISHERINV(FISHER(D18)-NORMSINV(0.975)/SQRT(C18-3))</f>
        <v>-0.11452421810691406</v>
      </c>
      <c r="F18" s="9">
        <f>FISHERINV(FISHER(D18)+NORMSINV(0.975)/SQRT(C18-3))</f>
        <v>0.27756980850543839</v>
      </c>
      <c r="G18" s="10">
        <f>TDIST(ABS(D18)*SQRT((C18-2)/(1-D18^2)),C18-2,2)</f>
        <v>0.40395044325922991</v>
      </c>
      <c r="H18" s="22">
        <v>0.40395044325924351</v>
      </c>
      <c r="I18" s="23" t="s">
        <v>21</v>
      </c>
    </row>
    <row r="19" spans="1:9" x14ac:dyDescent="0.2">
      <c r="A19" s="3" t="s">
        <v>22</v>
      </c>
      <c r="B19" s="3" t="s">
        <v>15</v>
      </c>
      <c r="C19" s="7">
        <f>COUNT('BFI Scores'!$T$2:$T$100)</f>
        <v>99</v>
      </c>
      <c r="D19" s="8">
        <f>CORREL('BFI Scores'!$T$2:$T$100,'BFI Scores'!$E$2:$E$100)</f>
        <v>0.2887856870796745</v>
      </c>
      <c r="E19" s="9">
        <f>FISHERINV(FISHER(D19)-NORMSINV(0.975)/SQRT(C19-3))</f>
        <v>9.6897986567790639E-2</v>
      </c>
      <c r="F19" s="9">
        <f>FISHERINV(FISHER(D19)+NORMSINV(0.975)/SQRT(C19-3))</f>
        <v>0.4599745008105921</v>
      </c>
      <c r="G19" s="10">
        <f>TDIST(ABS(D19)*SQRT((C19-2)/(1-D19^2)),C19-2,2)</f>
        <v>3.7444831458373958E-3</v>
      </c>
      <c r="H19" s="22">
        <v>1.872241572918653E-2</v>
      </c>
      <c r="I19" s="23" t="s">
        <v>14</v>
      </c>
    </row>
    <row r="20" spans="1:9" x14ac:dyDescent="0.2">
      <c r="A20" s="3" t="s">
        <v>22</v>
      </c>
      <c r="B20" s="3" t="s">
        <v>16</v>
      </c>
      <c r="C20" s="7">
        <f>COUNT('BFI Scores'!$U$2:$U$100)</f>
        <v>99</v>
      </c>
      <c r="D20" s="8">
        <f>CORREL('BFI Scores'!$U$2:$U$100,'BFI Scores'!$F$2:$F$100)</f>
        <v>0.27299912755860517</v>
      </c>
      <c r="E20" s="9">
        <f>FISHERINV(FISHER(D20)-NORMSINV(0.975)/SQRT(C20-3))</f>
        <v>7.9892994578363324E-2</v>
      </c>
      <c r="F20" s="9">
        <f>FISHERINV(FISHER(D20)+NORMSINV(0.975)/SQRT(C20-3))</f>
        <v>0.44635540773177668</v>
      </c>
      <c r="G20" s="10">
        <f>TDIST(ABS(D20)*SQRT((C20-2)/(1-D20^2)),C20-2,2)</f>
        <v>6.2580156015798003E-3</v>
      </c>
      <c r="H20" s="22">
        <v>2.5032062406318441E-2</v>
      </c>
      <c r="I20" s="23" t="s">
        <v>14</v>
      </c>
    </row>
    <row r="21" spans="1:9" x14ac:dyDescent="0.2">
      <c r="A21" s="2" t="s">
        <v>22</v>
      </c>
      <c r="B21" s="2" t="s">
        <v>18</v>
      </c>
      <c r="D21" s="11">
        <f>AVERAGE(D16:D20)</f>
        <v>0.20034651364270348</v>
      </c>
      <c r="I21" s="17" t="str">
        <f>COUNTIF(I16:I20,"&lt;&gt;ns")&amp;" of 5 sig."</f>
        <v>2 of 5 sig.</v>
      </c>
    </row>
    <row r="22" spans="1:9" x14ac:dyDescent="0.2">
      <c r="D22">
        <f>_xlfn.STDEV.S(D16:D20)</f>
        <v>8.4986869182457306E-2</v>
      </c>
    </row>
    <row r="23" spans="1:9" x14ac:dyDescent="0.2">
      <c r="A23" s="3" t="s">
        <v>23</v>
      </c>
      <c r="B23" s="3" t="s">
        <v>10</v>
      </c>
      <c r="C23" s="7">
        <f>COUNT('BFI Scores'!$V$2:$V$100)</f>
        <v>99</v>
      </c>
      <c r="D23" s="8">
        <f>CORREL('BFI Scores'!$V$2:$V$100,'BFI Scores'!$B$2:$B$100)</f>
        <v>0.40169355013366193</v>
      </c>
      <c r="E23" s="9">
        <f>FISHERINV(FISHER(D23)-NORMSINV(0.975)/SQRT(C23-3))</f>
        <v>0.2218763054035772</v>
      </c>
      <c r="F23" s="9">
        <f>FISHERINV(FISHER(D23)+NORMSINV(0.975)/SQRT(C23-3))</f>
        <v>0.55508746404337872</v>
      </c>
      <c r="G23" s="10">
        <f>TDIST(ABS(D23)*SQRT((C23-2)/(1-D23^2)),C23-2,2)</f>
        <v>3.7721563015758554E-5</v>
      </c>
      <c r="H23" s="22">
        <v>1.131646890472723E-4</v>
      </c>
      <c r="I23" s="23" t="s">
        <v>11</v>
      </c>
    </row>
    <row r="24" spans="1:9" x14ac:dyDescent="0.2">
      <c r="A24" s="3" t="s">
        <v>23</v>
      </c>
      <c r="B24" s="3" t="s">
        <v>12</v>
      </c>
      <c r="C24" s="7">
        <f>COUNT('BFI Scores'!$W$2:$W$100)</f>
        <v>99</v>
      </c>
      <c r="D24" s="8">
        <f>CORREL('BFI Scores'!$W$2:$W$100,'BFI Scores'!$C$2:$C$100)</f>
        <v>0.40783093701669121</v>
      </c>
      <c r="E24" s="9">
        <f>FISHERINV(FISHER(D24)-NORMSINV(0.975)/SQRT(C24-3))</f>
        <v>0.22884344494557501</v>
      </c>
      <c r="F24" s="9">
        <f>FISHERINV(FISHER(D24)+NORMSINV(0.975)/SQRT(C24-3))</f>
        <v>0.5601451161191644</v>
      </c>
      <c r="G24" s="10">
        <f>TDIST(ABS(D24)*SQRT((C24-2)/(1-D24^2)),C24-2,2)</f>
        <v>2.7893810678635555E-5</v>
      </c>
      <c r="H24" s="22">
        <v>1.115752427145394E-4</v>
      </c>
      <c r="I24" s="23" t="s">
        <v>11</v>
      </c>
    </row>
    <row r="25" spans="1:9" x14ac:dyDescent="0.2">
      <c r="A25" s="3" t="s">
        <v>23</v>
      </c>
      <c r="B25" s="3" t="s">
        <v>13</v>
      </c>
      <c r="C25" s="7">
        <f>COUNT('BFI Scores'!$X$2:$X$100)</f>
        <v>99</v>
      </c>
      <c r="D25" s="8">
        <f>CORREL('BFI Scores'!$X$2:$X$100,'BFI Scores'!$D$2:$D$100)</f>
        <v>0.20402154407026163</v>
      </c>
      <c r="E25" s="9">
        <f>FISHERINV(FISHER(D25)-NORMSINV(0.975)/SQRT(C25-3))</f>
        <v>6.8871042876811469E-3</v>
      </c>
      <c r="F25" s="9">
        <f>FISHERINV(FISHER(D25)+NORMSINV(0.975)/SQRT(C25-3))</f>
        <v>0.38589111751995375</v>
      </c>
      <c r="G25" s="10">
        <f>TDIST(ABS(D25)*SQRT((C25-2)/(1-D25^2)),C25-2,2)</f>
        <v>4.2809306792657056E-2</v>
      </c>
      <c r="H25" s="22">
        <v>4.2809306792655988E-2</v>
      </c>
      <c r="I25" s="23" t="s">
        <v>14</v>
      </c>
    </row>
    <row r="26" spans="1:9" x14ac:dyDescent="0.2">
      <c r="A26" s="3" t="s">
        <v>23</v>
      </c>
      <c r="B26" s="3" t="s">
        <v>15</v>
      </c>
      <c r="C26" s="7">
        <f>COUNT('BFI Scores'!$Y$2:$Y$100)</f>
        <v>99</v>
      </c>
      <c r="D26" s="8">
        <f>CORREL('BFI Scores'!$Y$2:$Y$100,'BFI Scores'!$E$2:$E$100)</f>
        <v>0.46837935587922119</v>
      </c>
      <c r="E26" s="9">
        <f>FISHERINV(FISHER(D26)-NORMSINV(0.975)/SQRT(C26-3))</f>
        <v>0.2985748411626043</v>
      </c>
      <c r="F26" s="9">
        <f>FISHERINV(FISHER(D26)+NORMSINV(0.975)/SQRT(C26-3))</f>
        <v>0.60944013856116297</v>
      </c>
      <c r="G26" s="10">
        <f>TDIST(ABS(D26)*SQRT((C26-2)/(1-D26^2)),C26-2,2)</f>
        <v>1.0133349443785299E-6</v>
      </c>
      <c r="H26" s="22">
        <v>5.0666747218925756E-6</v>
      </c>
      <c r="I26" s="23" t="s">
        <v>11</v>
      </c>
    </row>
    <row r="27" spans="1:9" x14ac:dyDescent="0.2">
      <c r="A27" s="3" t="s">
        <v>23</v>
      </c>
      <c r="B27" s="3" t="s">
        <v>16</v>
      </c>
      <c r="C27" s="7">
        <f>COUNT('BFI Scores'!$Z$2:$Z$100)</f>
        <v>99</v>
      </c>
      <c r="D27" s="8">
        <f>CORREL('BFI Scores'!$Z$2:$Z$100,'BFI Scores'!$F$2:$F$100)</f>
        <v>0.31592574362892961</v>
      </c>
      <c r="E27" s="9">
        <f>FISHERINV(FISHER(D27)-NORMSINV(0.975)/SQRT(C27-3))</f>
        <v>0.12639697774942871</v>
      </c>
      <c r="F27" s="9">
        <f>FISHERINV(FISHER(D27)+NORMSINV(0.975)/SQRT(C27-3))</f>
        <v>0.48320151060947231</v>
      </c>
      <c r="G27" s="10">
        <f>TDIST(ABS(D27)*SQRT((C27-2)/(1-D27^2)),C27-2,2)</f>
        <v>1.4450354678683449E-3</v>
      </c>
      <c r="H27" s="22">
        <v>2.890070935736642E-3</v>
      </c>
      <c r="I27" s="23" t="s">
        <v>17</v>
      </c>
    </row>
    <row r="28" spans="1:9" x14ac:dyDescent="0.2">
      <c r="A28" s="2" t="s">
        <v>23</v>
      </c>
      <c r="B28" s="2" t="s">
        <v>18</v>
      </c>
      <c r="D28" s="11">
        <f>AVERAGE(D23:D27)</f>
        <v>0.35957022614575312</v>
      </c>
      <c r="I28" s="17" t="str">
        <f>COUNTIF(I23:I27,"&lt;&gt;ns")&amp;" of 5 sig."</f>
        <v>5 of 5 sig.</v>
      </c>
    </row>
    <row r="29" spans="1:9" x14ac:dyDescent="0.2">
      <c r="D29">
        <f>_xlfn.STDEV.S(D23:D27)</f>
        <v>0.10252210822610021</v>
      </c>
    </row>
    <row r="30" spans="1:9" x14ac:dyDescent="0.2">
      <c r="A30" s="3" t="s">
        <v>24</v>
      </c>
      <c r="B30" s="3" t="s">
        <v>10</v>
      </c>
      <c r="C30" s="7">
        <f>COUNT('BFI Scores'!$AA$2:$AA$100)</f>
        <v>99</v>
      </c>
      <c r="D30" s="8">
        <f>CORREL('BFI Scores'!$AA$2:$AA$100,'BFI Scores'!$B$2:$B$100)</f>
        <v>0.33737276939426486</v>
      </c>
      <c r="E30" s="9">
        <f>FISHERINV(FISHER(D30)-NORMSINV(0.975)/SQRT(C30-3))</f>
        <v>0.14994766327038306</v>
      </c>
      <c r="F30" s="9">
        <f>FISHERINV(FISHER(D30)+NORMSINV(0.975)/SQRT(C30-3))</f>
        <v>0.50139124955622816</v>
      </c>
      <c r="G30" s="10">
        <f>TDIST(ABS(D30)*SQRT((C30-2)/(1-D30^2)),C30-2,2)</f>
        <v>6.381021875834622E-4</v>
      </c>
      <c r="H30" s="22">
        <v>2.9170031387900511E-3</v>
      </c>
      <c r="I30" s="23" t="s">
        <v>17</v>
      </c>
    </row>
    <row r="31" spans="1:9" x14ac:dyDescent="0.2">
      <c r="A31" s="3" t="s">
        <v>24</v>
      </c>
      <c r="B31" s="3" t="s">
        <v>12</v>
      </c>
      <c r="C31" s="7">
        <f>COUNT('BFI Scores'!$AB$2:$AB$100)</f>
        <v>99</v>
      </c>
      <c r="D31" s="8">
        <f>CORREL('BFI Scores'!$AB$2:$AB$100,'BFI Scores'!$C$2:$C$100)</f>
        <v>0.33963319385871416</v>
      </c>
      <c r="E31" s="9">
        <f>FISHERINV(FISHER(D31)-NORMSINV(0.975)/SQRT(C31-3))</f>
        <v>0.15244225603982142</v>
      </c>
      <c r="F31" s="9">
        <f>FISHERINV(FISHER(D31)+NORMSINV(0.975)/SQRT(C31-3))</f>
        <v>0.5032999613719944</v>
      </c>
      <c r="G31" s="10">
        <f>TDIST(ABS(D31)*SQRT((C31-2)/(1-D31^2)),C31-2,2)</f>
        <v>5.8340062775803531E-4</v>
      </c>
      <c r="H31" s="22">
        <v>2.9170031387900511E-3</v>
      </c>
      <c r="I31" s="23" t="s">
        <v>17</v>
      </c>
    </row>
    <row r="32" spans="1:9" x14ac:dyDescent="0.2">
      <c r="A32" s="3" t="s">
        <v>24</v>
      </c>
      <c r="B32" s="3" t="s">
        <v>13</v>
      </c>
      <c r="C32" s="7">
        <f>COUNT('BFI Scores'!$AC$2:$AC$100)</f>
        <v>99</v>
      </c>
      <c r="D32" s="8">
        <f>CORREL('BFI Scores'!$AC$2:$AC$100,'BFI Scores'!$D$2:$D$100)</f>
        <v>0.19315599323591254</v>
      </c>
      <c r="E32" s="9">
        <f>FISHERINV(FISHER(D32)-NORMSINV(0.975)/SQRT(C32-3))</f>
        <v>-4.4245470187170366E-3</v>
      </c>
      <c r="F32" s="9">
        <f>FISHERINV(FISHER(D32)+NORMSINV(0.975)/SQRT(C32-3))</f>
        <v>0.37622199460229178</v>
      </c>
      <c r="G32" s="10">
        <f>TDIST(ABS(D32)*SQRT((C32-2)/(1-D32^2)),C32-2,2)</f>
        <v>5.5422371196697309E-2</v>
      </c>
      <c r="H32" s="22">
        <v>0.1108447423933918</v>
      </c>
      <c r="I32" s="23" t="s">
        <v>21</v>
      </c>
    </row>
    <row r="33" spans="1:9" x14ac:dyDescent="0.2">
      <c r="A33" s="3" t="s">
        <v>24</v>
      </c>
      <c r="B33" s="3" t="s">
        <v>15</v>
      </c>
      <c r="C33" s="7">
        <f>COUNT('BFI Scores'!$AD$2:$AD$100)</f>
        <v>99</v>
      </c>
      <c r="D33" s="8">
        <f>CORREL('BFI Scores'!$AD$2:$AD$100,'BFI Scores'!$E$2:$E$100)</f>
        <v>0.26228035583413423</v>
      </c>
      <c r="E33" s="9">
        <f>FISHERINV(FISHER(D33)-NORMSINV(0.975)/SQRT(C33-3))</f>
        <v>6.8410643815592712E-2</v>
      </c>
      <c r="F33" s="9">
        <f>FISHERINV(FISHER(D33)+NORMSINV(0.975)/SQRT(C33-3))</f>
        <v>0.43706230099867716</v>
      </c>
      <c r="G33" s="10">
        <f>TDIST(ABS(D33)*SQRT((C33-2)/(1-D33^2)),C33-2,2)</f>
        <v>8.7262877882583623E-3</v>
      </c>
      <c r="H33" s="22">
        <v>2.617886336477453E-2</v>
      </c>
      <c r="I33" s="23" t="s">
        <v>14</v>
      </c>
    </row>
    <row r="34" spans="1:9" x14ac:dyDescent="0.2">
      <c r="A34" s="3" t="s">
        <v>24</v>
      </c>
      <c r="B34" s="3" t="s">
        <v>16</v>
      </c>
      <c r="C34" s="7">
        <f>COUNT('BFI Scores'!$AE$2:$AE$100)</f>
        <v>99</v>
      </c>
      <c r="D34" s="8">
        <f>CORREL('BFI Scores'!$AE$2:$AE$100,'BFI Scores'!$F$2:$F$100)</f>
        <v>0.19210509511385832</v>
      </c>
      <c r="E34" s="9">
        <f>FISHERINV(FISHER(D34)-NORMSINV(0.975)/SQRT(C34-3))</f>
        <v>-5.5159161079101592E-3</v>
      </c>
      <c r="F34" s="9">
        <f>FISHERINV(FISHER(D34)+NORMSINV(0.975)/SQRT(C34-3))</f>
        <v>0.37528469342798743</v>
      </c>
      <c r="G34" s="10">
        <f>TDIST(ABS(D34)*SQRT((C34-2)/(1-D34^2)),C34-2,2)</f>
        <v>5.6789277945730229E-2</v>
      </c>
      <c r="H34" s="22">
        <v>0.1108447423933918</v>
      </c>
      <c r="I34" s="23" t="s">
        <v>21</v>
      </c>
    </row>
    <row r="35" spans="1:9" x14ac:dyDescent="0.2">
      <c r="A35" s="2" t="s">
        <v>24</v>
      </c>
      <c r="B35" s="2" t="s">
        <v>18</v>
      </c>
      <c r="D35" s="11">
        <f>AVERAGE(D30:D34)</f>
        <v>0.26490948148737681</v>
      </c>
      <c r="I35" s="17" t="str">
        <f>COUNTIF(I30:I34,"&lt;&gt;ns")&amp;" of 5 sig."</f>
        <v>3 of 5 sig.</v>
      </c>
    </row>
    <row r="36" spans="1:9" x14ac:dyDescent="0.2">
      <c r="D36">
        <f>_xlfn.STDEV.S(D30:D34)</f>
        <v>7.2956348829298301E-2</v>
      </c>
    </row>
    <row r="38" spans="1:9" x14ac:dyDescent="0.2">
      <c r="A38" s="24"/>
    </row>
    <row r="39" spans="1:9" x14ac:dyDescent="0.2">
      <c r="A39" s="24"/>
    </row>
    <row r="40" spans="1:9" x14ac:dyDescent="0.2">
      <c r="A40" s="24"/>
    </row>
    <row r="41" spans="1:9" x14ac:dyDescent="0.2">
      <c r="A41" s="2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"/>
  <sheetViews>
    <sheetView workbookViewId="0">
      <pane xSplit="1" ySplit="1" topLeftCell="W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3" width="22" customWidth="1"/>
    <col min="4" max="4" width="26" customWidth="1"/>
    <col min="5" max="5" width="20" customWidth="1"/>
    <col min="6" max="6" width="17" customWidth="1"/>
    <col min="7" max="7" width="21" customWidth="1"/>
    <col min="8" max="8" width="22" customWidth="1"/>
    <col min="9" max="9" width="26" customWidth="1"/>
    <col min="10" max="10" width="20" customWidth="1"/>
    <col min="11" max="11" width="17" customWidth="1"/>
    <col min="12" max="12" width="20" customWidth="1"/>
    <col min="13" max="13" width="21" customWidth="1"/>
    <col min="14" max="14" width="25" customWidth="1"/>
    <col min="15" max="15" width="19" customWidth="1"/>
    <col min="16" max="16" width="16" customWidth="1"/>
    <col min="17" max="17" width="30" customWidth="1"/>
    <col min="18" max="18" width="31" customWidth="1"/>
    <col min="19" max="19" width="35" customWidth="1"/>
    <col min="20" max="20" width="29" customWidth="1"/>
    <col min="21" max="22" width="26" customWidth="1"/>
    <col min="23" max="23" width="27" customWidth="1"/>
    <col min="24" max="24" width="31" customWidth="1"/>
    <col min="25" max="25" width="25" customWidth="1"/>
    <col min="26" max="27" width="22" customWidth="1"/>
    <col min="28" max="28" width="18.33203125" customWidth="1"/>
    <col min="29" max="29" width="13" customWidth="1"/>
    <col min="30" max="30" width="14.83203125" customWidth="1"/>
    <col min="31" max="31" width="18" customWidth="1"/>
    <col min="33" max="33" width="40" customWidth="1"/>
  </cols>
  <sheetData>
    <row r="1" spans="1:33" x14ac:dyDescent="0.2">
      <c r="A1" s="15" t="s">
        <v>25</v>
      </c>
      <c r="B1" s="15" t="s">
        <v>72</v>
      </c>
      <c r="C1" s="15" t="s">
        <v>73</v>
      </c>
      <c r="D1" s="15" t="s">
        <v>74</v>
      </c>
      <c r="E1" s="15" t="s">
        <v>75</v>
      </c>
      <c r="F1" s="15" t="s">
        <v>76</v>
      </c>
      <c r="G1" s="15" t="s">
        <v>77</v>
      </c>
      <c r="H1" s="15" t="s">
        <v>78</v>
      </c>
      <c r="I1" s="15" t="s">
        <v>79</v>
      </c>
      <c r="J1" s="15" t="s">
        <v>80</v>
      </c>
      <c r="K1" s="15" t="s">
        <v>81</v>
      </c>
      <c r="L1" s="15" t="s">
        <v>82</v>
      </c>
      <c r="M1" s="15" t="s">
        <v>83</v>
      </c>
      <c r="N1" s="15" t="s">
        <v>84</v>
      </c>
      <c r="O1" s="15" t="s">
        <v>85</v>
      </c>
      <c r="P1" s="15" t="s">
        <v>86</v>
      </c>
      <c r="Q1" s="15" t="s">
        <v>87</v>
      </c>
      <c r="R1" s="15" t="s">
        <v>88</v>
      </c>
      <c r="S1" s="15" t="s">
        <v>89</v>
      </c>
      <c r="T1" s="15" t="s">
        <v>90</v>
      </c>
      <c r="U1" s="15" t="s">
        <v>91</v>
      </c>
      <c r="V1" s="15" t="s">
        <v>92</v>
      </c>
      <c r="W1" s="15" t="s">
        <v>93</v>
      </c>
      <c r="X1" s="15" t="s">
        <v>94</v>
      </c>
      <c r="Y1" s="15" t="s">
        <v>95</v>
      </c>
      <c r="Z1" s="15" t="s">
        <v>96</v>
      </c>
      <c r="AA1" s="15" t="s">
        <v>97</v>
      </c>
      <c r="AB1" s="15" t="s">
        <v>98</v>
      </c>
      <c r="AC1" s="15" t="s">
        <v>99</v>
      </c>
      <c r="AD1" s="15" t="s">
        <v>100</v>
      </c>
      <c r="AE1" s="15" t="s">
        <v>101</v>
      </c>
      <c r="AG1" s="16" t="s">
        <v>41</v>
      </c>
    </row>
    <row r="2" spans="1:33" x14ac:dyDescent="0.2">
      <c r="A2" s="17">
        <v>10280</v>
      </c>
      <c r="B2" s="18">
        <f>('BFI Scores'!G2-'BFI Scores'!B2)^2</f>
        <v>1.4062500000000067E-3</v>
      </c>
      <c r="C2" s="18">
        <f>('BFI Scores'!H2-'BFI Scores'!C2)^2</f>
        <v>1.0313530864197427</v>
      </c>
      <c r="D2" s="18">
        <f>('BFI Scores'!I2-'BFI Scores'!D2)^2</f>
        <v>4.8400000000000089E-2</v>
      </c>
      <c r="E2" s="18">
        <f>('BFI Scores'!J2-'BFI Scores'!E2)^2</f>
        <v>1.4823062499999995</v>
      </c>
      <c r="F2" s="18">
        <f>('BFI Scores'!K2-'BFI Scores'!F2)^2</f>
        <v>0.92159999999999997</v>
      </c>
      <c r="G2" s="18">
        <f>('BFI Scores'!L2-'BFI Scores'!B2)^2</f>
        <v>5.6250000000000267E-3</v>
      </c>
      <c r="H2" s="18">
        <f>('BFI Scores'!M2-'BFI Scores'!C2)^2</f>
        <v>0.98671111111110466</v>
      </c>
      <c r="I2" s="18">
        <f>('BFI Scores'!N2-'BFI Scores'!D2)^2</f>
        <v>5.3412345679012006E-2</v>
      </c>
      <c r="J2" s="18">
        <f>('BFI Scores'!O2-'BFI Scores'!E2)^2</f>
        <v>5.3708062499999993</v>
      </c>
      <c r="K2" s="18">
        <f>('BFI Scores'!P2-'BFI Scores'!F2)^2</f>
        <v>1.2768999999999997</v>
      </c>
      <c r="L2" s="18">
        <f>('BFI Scores'!Q2-'BFI Scores'!B2)^2</f>
        <v>6.8906250000000099E-2</v>
      </c>
      <c r="M2" s="18">
        <f>('BFI Scores'!R2-'BFI Scores'!C2)^2</f>
        <v>0.22194567901234477</v>
      </c>
      <c r="N2" s="18">
        <f>('BFI Scores'!S2-'BFI Scores'!D2)^2</f>
        <v>4.3634567901235037E-2</v>
      </c>
      <c r="O2" s="18">
        <f>('BFI Scores'!T2-'BFI Scores'!E2)^2</f>
        <v>5.9048999999999987</v>
      </c>
      <c r="P2" s="18">
        <f>('BFI Scores'!U2-'BFI Scores'!F2)^2</f>
        <v>0.98009999999999953</v>
      </c>
      <c r="Q2" s="18">
        <f>('BFI Scores'!V2-'BFI Scores'!B2)^2</f>
        <v>0.74390624999999966</v>
      </c>
      <c r="R2" s="18">
        <f>('BFI Scores'!W2-'BFI Scores'!C2)^2</f>
        <v>1.0089086419753002</v>
      </c>
      <c r="S2" s="18">
        <f>('BFI Scores'!X2-'BFI Scores'!D2)^2</f>
        <v>6.9930864197528531E-2</v>
      </c>
      <c r="T2" s="18">
        <f>('BFI Scores'!Y2-'BFI Scores'!E2)^2</f>
        <v>1.2768999999999997</v>
      </c>
      <c r="U2" s="18">
        <f>('BFI Scores'!Z2-'BFI Scores'!F2)^2</f>
        <v>0.50409999999999999</v>
      </c>
      <c r="V2" s="18">
        <f>('BFI Scores'!AA2-'BFI Scores'!B2)^2</f>
        <v>1.41015625</v>
      </c>
      <c r="W2" s="18">
        <f>('BFI Scores'!AB2-'BFI Scores'!C2)^2</f>
        <v>1.7015753086419638</v>
      </c>
      <c r="X2" s="18">
        <f>('BFI Scores'!AC2-'BFI Scores'!D2)^2</f>
        <v>0.17640000000000031</v>
      </c>
      <c r="Y2" s="18">
        <f>('BFI Scores'!AD2-'BFI Scores'!E2)^2</f>
        <v>4.5368999999999993</v>
      </c>
      <c r="Z2" s="18">
        <f>('BFI Scores'!AE2-'BFI Scores'!F2)^2</f>
        <v>0.12249999999999975</v>
      </c>
      <c r="AA2" s="20">
        <f t="shared" ref="AA2:AA33" si="0">AVERAGE(B2:F2)</f>
        <v>0.69701311728394832</v>
      </c>
      <c r="AB2" s="20">
        <f t="shared" ref="AB2:AB33" si="1">AVERAGE(G2:K2)</f>
        <v>1.538690941358023</v>
      </c>
      <c r="AC2" s="20">
        <f t="shared" ref="AC2:AC33" si="2">AVERAGE(L2:P2)</f>
        <v>1.4438972993827155</v>
      </c>
      <c r="AD2" s="20">
        <f t="shared" ref="AD2:AD33" si="3">AVERAGE(Q2:U2)</f>
        <v>0.72074915123456562</v>
      </c>
      <c r="AE2" s="20">
        <f t="shared" ref="AE2:AE33" si="4">AVERAGE(V2:Z2)</f>
        <v>1.5895063117283925</v>
      </c>
      <c r="AG2" s="19" t="s">
        <v>102</v>
      </c>
    </row>
    <row r="3" spans="1:33" x14ac:dyDescent="0.2">
      <c r="A3" s="17">
        <v>10366</v>
      </c>
      <c r="B3" s="18">
        <f>('BFI Scores'!G3-'BFI Scores'!B3)^2</f>
        <v>9.0250000000000365E-3</v>
      </c>
      <c r="C3" s="18">
        <f>('BFI Scores'!H3-'BFI Scores'!C3)^2</f>
        <v>0.23576419753085898</v>
      </c>
      <c r="D3" s="18">
        <f>('BFI Scores'!I3-'BFI Scores'!D3)^2</f>
        <v>1.5652790123456761</v>
      </c>
      <c r="E3" s="18">
        <f>('BFI Scores'!J3-'BFI Scores'!E3)^2</f>
        <v>1.0150562500000007</v>
      </c>
      <c r="F3" s="18">
        <f>('BFI Scores'!K3-'BFI Scores'!F3)^2</f>
        <v>9.9999999999999291E-3</v>
      </c>
      <c r="G3" s="18">
        <f>('BFI Scores'!L3-'BFI Scores'!B3)^2</f>
        <v>0.19802500000000026</v>
      </c>
      <c r="H3" s="18">
        <f>('BFI Scores'!M3-'BFI Scores'!C3)^2</f>
        <v>0.26924567901234692</v>
      </c>
      <c r="I3" s="18">
        <f>('BFI Scores'!N3-'BFI Scores'!D3)^2</f>
        <v>1.5932049382715996</v>
      </c>
      <c r="J3" s="18">
        <f>('BFI Scores'!O3-'BFI Scores'!E3)^2</f>
        <v>1.1718062499999999</v>
      </c>
      <c r="K3" s="18">
        <f>('BFI Scores'!P3-'BFI Scores'!F3)^2</f>
        <v>9.6099999999999755E-2</v>
      </c>
      <c r="L3" s="18">
        <f>('BFI Scores'!Q3-'BFI Scores'!B3)^2</f>
        <v>0.12780624999999995</v>
      </c>
      <c r="M3" s="18">
        <f>('BFI Scores'!R3-'BFI Scores'!C3)^2</f>
        <v>0.44001111111110669</v>
      </c>
      <c r="N3" s="18">
        <f>('BFI Scores'!S3-'BFI Scores'!D3)^2</f>
        <v>1.7955999999999996</v>
      </c>
      <c r="O3" s="18">
        <f>('BFI Scores'!T3-'BFI Scores'!E3)^2</f>
        <v>1.8769000000000002</v>
      </c>
      <c r="P3" s="18">
        <f>('BFI Scores'!U3-'BFI Scores'!F3)^2</f>
        <v>6.25E-2</v>
      </c>
      <c r="Q3" s="18">
        <f>('BFI Scores'!V3-'BFI Scores'!B3)^2</f>
        <v>0.28355625000000023</v>
      </c>
      <c r="R3" s="18">
        <f>('BFI Scores'!W3-'BFI Scores'!C3)^2</f>
        <v>0.11635679012345621</v>
      </c>
      <c r="S3" s="18">
        <f>('BFI Scores'!X3-'BFI Scores'!D3)^2</f>
        <v>1.7659456790123489</v>
      </c>
      <c r="T3" s="18">
        <f>('BFI Scores'!Y3-'BFI Scores'!E3)^2</f>
        <v>0.13690000000000008</v>
      </c>
      <c r="U3" s="18">
        <f>('BFI Scores'!Z3-'BFI Scores'!F3)^2</f>
        <v>7.8400000000000136E-2</v>
      </c>
      <c r="V3" s="18">
        <f>('BFI Scores'!AA3-'BFI Scores'!B3)^2</f>
        <v>0.10240000000000019</v>
      </c>
      <c r="W3" s="18">
        <f>('BFI Scores'!AB3-'BFI Scores'!C3)^2</f>
        <v>0.20450493827160302</v>
      </c>
      <c r="X3" s="18">
        <f>('BFI Scores'!AC3-'BFI Scores'!D3)^2</f>
        <v>0.25446419753085997</v>
      </c>
      <c r="Y3" s="18">
        <f>('BFI Scores'!AD3-'BFI Scores'!E3)^2</f>
        <v>4.23330625</v>
      </c>
      <c r="Z3" s="18">
        <f>('BFI Scores'!AE3-'BFI Scores'!F3)^2</f>
        <v>0.13689999999999974</v>
      </c>
      <c r="AA3" s="20">
        <f t="shared" si="0"/>
        <v>0.56702489197530714</v>
      </c>
      <c r="AB3" s="20">
        <f t="shared" si="1"/>
        <v>0.66567637345678932</v>
      </c>
      <c r="AC3" s="20">
        <f t="shared" si="2"/>
        <v>0.86056347222222129</v>
      </c>
      <c r="AD3" s="20">
        <f t="shared" si="3"/>
        <v>0.47623174382716116</v>
      </c>
      <c r="AE3" s="20">
        <f t="shared" si="4"/>
        <v>0.98631507716049271</v>
      </c>
      <c r="AG3" s="19" t="s">
        <v>103</v>
      </c>
    </row>
    <row r="4" spans="1:33" x14ac:dyDescent="0.2">
      <c r="A4" s="17">
        <v>10454</v>
      </c>
      <c r="B4" s="18">
        <f>('BFI Scores'!G4-'BFI Scores'!B4)^2</f>
        <v>0.25</v>
      </c>
      <c r="C4" s="18">
        <f>('BFI Scores'!H4-'BFI Scores'!C4)^2</f>
        <v>7.9012345679021264E-5</v>
      </c>
      <c r="D4" s="18">
        <f>('BFI Scores'!I4-'BFI Scores'!D4)^2</f>
        <v>2.0992790123456815</v>
      </c>
      <c r="E4" s="18">
        <f>('BFI Scores'!J4-'BFI Scores'!E4)^2</f>
        <v>2.1756250000000001</v>
      </c>
      <c r="F4" s="18">
        <f>('BFI Scores'!K4-'BFI Scores'!F4)^2</f>
        <v>0.51840000000000031</v>
      </c>
      <c r="G4" s="18">
        <f>('BFI Scores'!L4-'BFI Scores'!B4)^2</f>
        <v>6.25E-2</v>
      </c>
      <c r="H4" s="18">
        <f>('BFI Scores'!M4-'BFI Scores'!C4)^2</f>
        <v>4.9382716049279734E-6</v>
      </c>
      <c r="I4" s="18">
        <f>('BFI Scores'!N4-'BFI Scores'!D4)^2</f>
        <v>0.81801975308641117</v>
      </c>
      <c r="J4" s="18">
        <f>('BFI Scores'!O4-'BFI Scores'!E4)^2</f>
        <v>1.72265625</v>
      </c>
      <c r="K4" s="18">
        <f>('BFI Scores'!P4-'BFI Scores'!F4)^2</f>
        <v>0.27040000000000003</v>
      </c>
      <c r="L4" s="18">
        <f>('BFI Scores'!Q4-'BFI Scores'!B4)^2</f>
        <v>6.25E-2</v>
      </c>
      <c r="M4" s="18">
        <f>('BFI Scores'!R4-'BFI Scores'!C4)^2</f>
        <v>4.9382716049279734E-6</v>
      </c>
      <c r="N4" s="18">
        <f>('BFI Scores'!S4-'BFI Scores'!D4)^2</f>
        <v>0.33898271604937957</v>
      </c>
      <c r="O4" s="18">
        <f>('BFI Scores'!T4-'BFI Scores'!E4)^2</f>
        <v>4</v>
      </c>
      <c r="P4" s="18">
        <f>('BFI Scores'!U4-'BFI Scores'!F4)^2</f>
        <v>0.77440000000000064</v>
      </c>
      <c r="Q4" s="18">
        <f>('BFI Scores'!V4-'BFI Scores'!B4)^2</f>
        <v>1.8906250000000048E-2</v>
      </c>
      <c r="R4" s="18">
        <f>('BFI Scores'!W4-'BFI Scores'!C4)^2</f>
        <v>1.7777777777769124E-4</v>
      </c>
      <c r="S4" s="18">
        <f>('BFI Scores'!X4-'BFI Scores'!D4)^2</f>
        <v>2.0992790123456815</v>
      </c>
      <c r="T4" s="18">
        <f>('BFI Scores'!Y4-'BFI Scores'!E4)^2</f>
        <v>2.3256249999999996</v>
      </c>
      <c r="U4" s="18">
        <f>('BFI Scores'!Z4-'BFI Scores'!F4)^2</f>
        <v>0.19360000000000036</v>
      </c>
      <c r="V4" s="18">
        <f>('BFI Scores'!AA4-'BFI Scores'!B4)^2</f>
        <v>5.0625000000000038E-2</v>
      </c>
      <c r="W4" s="18">
        <f>('BFI Scores'!AB4-'BFI Scores'!C4)^2</f>
        <v>3.0819753086421282E-2</v>
      </c>
      <c r="X4" s="18">
        <f>('BFI Scores'!AC4-'BFI Scores'!D4)^2</f>
        <v>1.1712049382715992</v>
      </c>
      <c r="Y4" s="18">
        <f>('BFI Scores'!AD4-'BFI Scores'!E4)^2</f>
        <v>1.1826562499999997</v>
      </c>
      <c r="Z4" s="18">
        <f>('BFI Scores'!AE4-'BFI Scores'!F4)^2</f>
        <v>0.40960000000000019</v>
      </c>
      <c r="AA4" s="20">
        <f t="shared" si="0"/>
        <v>1.0086766049382723</v>
      </c>
      <c r="AB4" s="20">
        <f t="shared" si="1"/>
        <v>0.5747161882716032</v>
      </c>
      <c r="AC4" s="20">
        <f t="shared" si="2"/>
        <v>1.0351775308641971</v>
      </c>
      <c r="AD4" s="20">
        <f t="shared" si="3"/>
        <v>0.92751760802469185</v>
      </c>
      <c r="AE4" s="20">
        <f t="shared" si="4"/>
        <v>0.56898118827160415</v>
      </c>
      <c r="AG4" s="19" t="s">
        <v>104</v>
      </c>
    </row>
    <row r="5" spans="1:33" x14ac:dyDescent="0.2">
      <c r="A5" s="17">
        <v>11517</v>
      </c>
      <c r="B5" s="18">
        <f>('BFI Scores'!G5-'BFI Scores'!B5)^2</f>
        <v>1.0764062500000002</v>
      </c>
      <c r="C5" s="18">
        <f>('BFI Scores'!H5-'BFI Scores'!C5)^2</f>
        <v>0.13937777777777527</v>
      </c>
      <c r="D5" s="18">
        <f>('BFI Scores'!I5-'BFI Scores'!D5)^2</f>
        <v>0.7511111111111165</v>
      </c>
      <c r="E5" s="18">
        <f>('BFI Scores'!J5-'BFI Scores'!E5)^2</f>
        <v>8.99999999999999E-2</v>
      </c>
      <c r="F5" s="18">
        <f>('BFI Scores'!K5-'BFI Scores'!F5)^2</f>
        <v>2.5600000000000046E-2</v>
      </c>
      <c r="G5" s="18">
        <f>('BFI Scores'!L5-'BFI Scores'!B5)^2</f>
        <v>0.66015625</v>
      </c>
      <c r="H5" s="18">
        <f>('BFI Scores'!M5-'BFI Scores'!C5)^2</f>
        <v>0.3415753086419705</v>
      </c>
      <c r="I5" s="18">
        <f>('BFI Scores'!N5-'BFI Scores'!D5)^2</f>
        <v>1.9290123456790158</v>
      </c>
      <c r="J5" s="18">
        <f>('BFI Scores'!O5-'BFI Scores'!E5)^2</f>
        <v>0.25</v>
      </c>
      <c r="K5" s="18">
        <f>('BFI Scores'!P5-'BFI Scores'!F5)^2</f>
        <v>6.4000000000000116E-3</v>
      </c>
      <c r="L5" s="18">
        <f>('BFI Scores'!Q5-'BFI Scores'!B5)^2</f>
        <v>0.42249999999999988</v>
      </c>
      <c r="M5" s="18">
        <f>('BFI Scores'!R5-'BFI Scores'!C5)^2</f>
        <v>0.36804444444443613</v>
      </c>
      <c r="N5" s="18">
        <f>('BFI Scores'!S5-'BFI Scores'!D5)^2</f>
        <v>2.5600000000000005</v>
      </c>
      <c r="O5" s="18">
        <f>('BFI Scores'!T5-'BFI Scores'!E5)^2</f>
        <v>6.25E-2</v>
      </c>
      <c r="P5" s="18">
        <f>('BFI Scores'!U5-'BFI Scores'!F5)^2</f>
        <v>0.3600000000000001</v>
      </c>
      <c r="Q5" s="18">
        <f>('BFI Scores'!V5-'BFI Scores'!B5)^2</f>
        <v>1.5625</v>
      </c>
      <c r="R5" s="18">
        <f>('BFI Scores'!W5-'BFI Scores'!C5)^2</f>
        <v>8.7353086419755727E-2</v>
      </c>
      <c r="S5" s="18">
        <f>('BFI Scores'!X5-'BFI Scores'!D5)^2</f>
        <v>1.7190123456790094</v>
      </c>
      <c r="T5" s="18">
        <f>('BFI Scores'!Y5-'BFI Scores'!E5)^2</f>
        <v>2.640625000000003E-2</v>
      </c>
      <c r="U5" s="18">
        <f>('BFI Scores'!Z5-'BFI Scores'!F5)^2</f>
        <v>1.6899999999999971E-2</v>
      </c>
      <c r="V5" s="18">
        <f>('BFI Scores'!AA5-'BFI Scores'!B5)^2</f>
        <v>1.2376562499999997</v>
      </c>
      <c r="W5" s="18">
        <f>('BFI Scores'!AB5-'BFI Scores'!C5)^2</f>
        <v>3.3204938271604152E-2</v>
      </c>
      <c r="X5" s="18">
        <f>('BFI Scores'!AC5-'BFI Scores'!D5)^2</f>
        <v>3.0430864197531049</v>
      </c>
      <c r="Y5" s="18">
        <f>('BFI Scores'!AD5-'BFI Scores'!E5)^2</f>
        <v>1.4701562499999998</v>
      </c>
      <c r="Z5" s="18">
        <f>('BFI Scores'!AE5-'BFI Scores'!F5)^2</f>
        <v>0.3599999999999996</v>
      </c>
      <c r="AA5" s="20">
        <f t="shared" si="0"/>
        <v>0.41649902777777836</v>
      </c>
      <c r="AB5" s="20">
        <f t="shared" si="1"/>
        <v>0.6374287808641973</v>
      </c>
      <c r="AC5" s="20">
        <f t="shared" si="2"/>
        <v>0.75460888888888733</v>
      </c>
      <c r="AD5" s="20">
        <f t="shared" si="3"/>
        <v>0.68243433641975304</v>
      </c>
      <c r="AE5" s="20">
        <f t="shared" si="4"/>
        <v>1.2288207716049415</v>
      </c>
      <c r="AG5" s="19" t="s">
        <v>105</v>
      </c>
    </row>
    <row r="6" spans="1:33" x14ac:dyDescent="0.2">
      <c r="A6" s="17">
        <v>11525</v>
      </c>
      <c r="B6" s="18">
        <f>('BFI Scores'!G6-'BFI Scores'!B6)^2</f>
        <v>0.55502500000000021</v>
      </c>
      <c r="C6" s="18">
        <f>('BFI Scores'!H6-'BFI Scores'!C6)^2</f>
        <v>3.8677777777779039E-2</v>
      </c>
      <c r="D6" s="18">
        <f>('BFI Scores'!I6-'BFI Scores'!D6)^2</f>
        <v>5.137777777777794</v>
      </c>
      <c r="E6" s="18">
        <f>('BFI Scores'!J6-'BFI Scores'!E6)^2</f>
        <v>5.6249999999999937E-3</v>
      </c>
      <c r="F6" s="18">
        <f>('BFI Scores'!K6-'BFI Scores'!F6)^2</f>
        <v>2.1903999999999999</v>
      </c>
      <c r="G6" s="18">
        <f>('BFI Scores'!L6-'BFI Scores'!B6)^2</f>
        <v>0.51840000000000031</v>
      </c>
      <c r="H6" s="18">
        <f>('BFI Scores'!M6-'BFI Scores'!C6)^2</f>
        <v>1.3097530864196544E-2</v>
      </c>
      <c r="I6" s="18">
        <f>('BFI Scores'!N6-'BFI Scores'!D6)^2</f>
        <v>6.6449382716049508</v>
      </c>
      <c r="J6" s="18">
        <f>('BFI Scores'!O6-'BFI Scores'!E6)^2</f>
        <v>1.4062500000000067E-3</v>
      </c>
      <c r="K6" s="18">
        <f>('BFI Scores'!P6-'BFI Scores'!F6)^2</f>
        <v>1.7161000000000002</v>
      </c>
      <c r="L6" s="18">
        <f>('BFI Scores'!Q6-'BFI Scores'!B6)^2</f>
        <v>1.0353062500000001</v>
      </c>
      <c r="M6" s="18">
        <f>('BFI Scores'!R6-'BFI Scores'!C6)^2</f>
        <v>2.1283567901234601</v>
      </c>
      <c r="N6" s="18">
        <f>('BFI Scores'!S6-'BFI Scores'!D6)^2</f>
        <v>7.4104938271604821</v>
      </c>
      <c r="O6" s="18">
        <f>('BFI Scores'!T6-'BFI Scores'!E6)^2</f>
        <v>0.18062500000000004</v>
      </c>
      <c r="P6" s="18">
        <f>('BFI Scores'!U6-'BFI Scores'!F6)^2</f>
        <v>4.7089000000000016</v>
      </c>
      <c r="Q6" s="18">
        <f>('BFI Scores'!V6-'BFI Scores'!B6)^2</f>
        <v>1.3688999999999998</v>
      </c>
      <c r="R6" s="18">
        <f>('BFI Scores'!W6-'BFI Scores'!C6)^2</f>
        <v>4.0111111111106774E-3</v>
      </c>
      <c r="S6" s="18">
        <f>('BFI Scores'!X6-'BFI Scores'!D6)^2</f>
        <v>4.7427160493827252</v>
      </c>
      <c r="T6" s="18">
        <f>('BFI Scores'!Y6-'BFI Scores'!E6)^2</f>
        <v>1.4062500000000067E-3</v>
      </c>
      <c r="U6" s="18">
        <f>('BFI Scores'!Z6-'BFI Scores'!F6)^2</f>
        <v>1.7956000000000008</v>
      </c>
      <c r="V6" s="18">
        <f>('BFI Scores'!AA6-'BFI Scores'!B6)^2</f>
        <v>2.0880250000000009</v>
      </c>
      <c r="W6" s="18">
        <f>('BFI Scores'!AB6-'BFI Scores'!C6)^2</f>
        <v>0.41961604938271835</v>
      </c>
      <c r="X6" s="18">
        <f>('BFI Scores'!AC6-'BFI Scores'!D6)^2</f>
        <v>8.1541975308642236</v>
      </c>
      <c r="Y6" s="18">
        <f>('BFI Scores'!AD6-'BFI Scores'!E6)^2</f>
        <v>0.140625</v>
      </c>
      <c r="Z6" s="18">
        <f>('BFI Scores'!AE6-'BFI Scores'!F6)^2</f>
        <v>1.4400000000000004</v>
      </c>
      <c r="AA6" s="20">
        <f t="shared" si="0"/>
        <v>1.5855011111111146</v>
      </c>
      <c r="AB6" s="20">
        <f t="shared" si="1"/>
        <v>1.7787884104938296</v>
      </c>
      <c r="AC6" s="20">
        <f t="shared" si="2"/>
        <v>3.0927363734567885</v>
      </c>
      <c r="AD6" s="20">
        <f t="shared" si="3"/>
        <v>1.5825266820987671</v>
      </c>
      <c r="AE6" s="20">
        <f t="shared" si="4"/>
        <v>2.448492716049389</v>
      </c>
      <c r="AG6" s="19" t="s">
        <v>106</v>
      </c>
    </row>
    <row r="7" spans="1:33" x14ac:dyDescent="0.2">
      <c r="A7" s="17">
        <v>11542</v>
      </c>
      <c r="B7" s="18">
        <f>('BFI Scores'!G7-'BFI Scores'!B7)^2</f>
        <v>0.92640624999999988</v>
      </c>
      <c r="C7" s="18">
        <f>('BFI Scores'!H7-'BFI Scores'!C7)^2</f>
        <v>0.38854444444445296</v>
      </c>
      <c r="D7" s="18">
        <f>('BFI Scores'!I7-'BFI Scores'!D7)^2</f>
        <v>4.4427271604938365</v>
      </c>
      <c r="E7" s="18">
        <f>('BFI Scores'!J7-'BFI Scores'!E7)^2</f>
        <v>5.9048999999999987</v>
      </c>
      <c r="F7" s="18">
        <f>('BFI Scores'!K7-'BFI Scores'!F7)^2</f>
        <v>1.4400000000000026E-2</v>
      </c>
      <c r="G7" s="18">
        <f>('BFI Scores'!L7-'BFI Scores'!B7)^2</f>
        <v>0.9025000000000003</v>
      </c>
      <c r="H7" s="18">
        <f>('BFI Scores'!M7-'BFI Scores'!C7)^2</f>
        <v>0.77244567901234751</v>
      </c>
      <c r="I7" s="18">
        <f>('BFI Scores'!N7-'BFI Scores'!D7)^2</f>
        <v>2.0768012345678977</v>
      </c>
      <c r="J7" s="18">
        <f>('BFI Scores'!O7-'BFI Scores'!E7)^2</f>
        <v>5.9048999999999987</v>
      </c>
      <c r="K7" s="18">
        <f>('BFI Scores'!P7-'BFI Scores'!F7)^2</f>
        <v>0.64000000000000046</v>
      </c>
      <c r="L7" s="18">
        <f>('BFI Scores'!Q7-'BFI Scores'!B7)^2</f>
        <v>2.5201562499999999</v>
      </c>
      <c r="M7" s="18">
        <f>('BFI Scores'!R7-'BFI Scores'!C7)^2</f>
        <v>1.5792111111110947</v>
      </c>
      <c r="N7" s="18">
        <f>('BFI Scores'!S7-'BFI Scores'!D7)^2</f>
        <v>2.0449000000000006</v>
      </c>
      <c r="O7" s="18">
        <f>('BFI Scores'!T7-'BFI Scores'!E7)^2</f>
        <v>5.0850249999999999</v>
      </c>
      <c r="P7" s="18">
        <f>('BFI Scores'!U7-'BFI Scores'!F7)^2</f>
        <v>1.7689000000000001</v>
      </c>
      <c r="Q7" s="18">
        <f>('BFI Scores'!V7-'BFI Scores'!B7)^2</f>
        <v>1.4701562499999998</v>
      </c>
      <c r="R7" s="18">
        <f>('BFI Scores'!W7-'BFI Scores'!C7)^2</f>
        <v>0.49155679012345543</v>
      </c>
      <c r="S7" s="18">
        <f>('BFI Scores'!X7-'BFI Scores'!D7)^2</f>
        <v>3.6821345679012389</v>
      </c>
      <c r="T7" s="18">
        <f>('BFI Scores'!Y7-'BFI Scores'!E7)^2</f>
        <v>5.0850249999999999</v>
      </c>
      <c r="U7" s="18">
        <f>('BFI Scores'!Z7-'BFI Scores'!F7)^2</f>
        <v>1.6900000000000089E-2</v>
      </c>
      <c r="V7" s="18">
        <f>('BFI Scores'!AA7-'BFI Scores'!B7)^2</f>
        <v>5.640625</v>
      </c>
      <c r="W7" s="18">
        <f>('BFI Scores'!AB7-'BFI Scores'!C7)^2</f>
        <v>0.44592716049383013</v>
      </c>
      <c r="X7" s="18">
        <f>('BFI Scores'!AC7-'BFI Scores'!D7)^2</f>
        <v>1.9506777777777873</v>
      </c>
      <c r="Y7" s="18">
        <f>('BFI Scores'!AD7-'BFI Scores'!E7)^2</f>
        <v>5.0850249999999999</v>
      </c>
      <c r="Z7" s="18">
        <f>('BFI Scores'!AE7-'BFI Scores'!F7)^2</f>
        <v>0.28090000000000026</v>
      </c>
      <c r="AA7" s="20">
        <f t="shared" si="0"/>
        <v>2.3353955709876577</v>
      </c>
      <c r="AB7" s="20">
        <f t="shared" si="1"/>
        <v>2.059329382716049</v>
      </c>
      <c r="AC7" s="20">
        <f t="shared" si="2"/>
        <v>2.5996384722222192</v>
      </c>
      <c r="AD7" s="20">
        <f t="shared" si="3"/>
        <v>2.149154521604939</v>
      </c>
      <c r="AE7" s="20">
        <f t="shared" si="4"/>
        <v>2.6806309876543235</v>
      </c>
      <c r="AG7" s="19" t="s">
        <v>107</v>
      </c>
    </row>
    <row r="8" spans="1:33" x14ac:dyDescent="0.2">
      <c r="A8" s="17">
        <v>11843</v>
      </c>
      <c r="B8" s="18">
        <f>('BFI Scores'!G8-'BFI Scores'!B8)^2</f>
        <v>1.1024999999999996</v>
      </c>
      <c r="C8" s="18">
        <f>('BFI Scores'!H8-'BFI Scores'!C8)^2</f>
        <v>0.97790123456790312</v>
      </c>
      <c r="D8" s="18">
        <f>('BFI Scores'!I8-'BFI Scores'!D8)^2</f>
        <v>6.9461530864197778</v>
      </c>
      <c r="E8" s="18">
        <f>('BFI Scores'!J8-'BFI Scores'!E8)^2</f>
        <v>9.0000000000000024E-2</v>
      </c>
      <c r="F8" s="18">
        <f>('BFI Scores'!K8-'BFI Scores'!F8)^2</f>
        <v>1.9599999999999984</v>
      </c>
      <c r="G8" s="18">
        <f>('BFI Scores'!L8-'BFI Scores'!B8)^2</f>
        <v>2.4806250000000007</v>
      </c>
      <c r="H8" s="18">
        <f>('BFI Scores'!M8-'BFI Scores'!C8)^2</f>
        <v>0.47456790123456943</v>
      </c>
      <c r="I8" s="18">
        <f>('BFI Scores'!N8-'BFI Scores'!D8)^2</f>
        <v>5.6644000000000014</v>
      </c>
      <c r="J8" s="18">
        <f>('BFI Scores'!O8-'BFI Scores'!E8)^2</f>
        <v>9.765625E-2</v>
      </c>
      <c r="K8" s="18">
        <f>('BFI Scores'!P8-'BFI Scores'!F8)^2</f>
        <v>3.4968999999999988</v>
      </c>
      <c r="L8" s="18">
        <f>('BFI Scores'!Q8-'BFI Scores'!B8)^2</f>
        <v>1.9599999999999997</v>
      </c>
      <c r="M8" s="18">
        <f>('BFI Scores'!R8-'BFI Scores'!C8)^2</f>
        <v>1.0223456790123437</v>
      </c>
      <c r="N8" s="18">
        <f>('BFI Scores'!S8-'BFI Scores'!D8)^2</f>
        <v>7.1824000000000012</v>
      </c>
      <c r="O8" s="18">
        <f>('BFI Scores'!T8-'BFI Scores'!E8)^2</f>
        <v>2.5000000000000044E-3</v>
      </c>
      <c r="P8" s="18">
        <f>('BFI Scores'!U8-'BFI Scores'!F8)^2</f>
        <v>2.4335999999999989</v>
      </c>
      <c r="Q8" s="18">
        <f>('BFI Scores'!V8-'BFI Scores'!B8)^2</f>
        <v>1.5625E-2</v>
      </c>
      <c r="R8" s="18">
        <f>('BFI Scores'!W8-'BFI Scores'!C8)^2</f>
        <v>1.0677777777777711</v>
      </c>
      <c r="S8" s="18">
        <f>('BFI Scores'!X8-'BFI Scores'!D8)^2</f>
        <v>8.040375308642</v>
      </c>
      <c r="T8" s="18">
        <f>('BFI Scores'!Y8-'BFI Scores'!E8)^2</f>
        <v>0.12250000000000007</v>
      </c>
      <c r="U8" s="18">
        <f>('BFI Scores'!Z8-'BFI Scores'!F8)^2</f>
        <v>1.1024999999999996</v>
      </c>
      <c r="V8" s="18">
        <f>('BFI Scores'!AA8-'BFI Scores'!B8)^2</f>
        <v>4.000000000000007E-2</v>
      </c>
      <c r="W8" s="18">
        <f>('BFI Scores'!AB8-'BFI Scores'!C8)^2</f>
        <v>3.3611111111110987</v>
      </c>
      <c r="X8" s="18">
        <f>('BFI Scores'!AC8-'BFI Scores'!D8)^2</f>
        <v>9.0133382716049262</v>
      </c>
      <c r="Y8" s="18">
        <f>('BFI Scores'!AD8-'BFI Scores'!E8)^2</f>
        <v>0.5625</v>
      </c>
      <c r="Z8" s="18">
        <f>('BFI Scores'!AE8-'BFI Scores'!F8)^2</f>
        <v>3.2760999999999987</v>
      </c>
      <c r="AA8" s="20">
        <f t="shared" si="0"/>
        <v>2.2153108641975359</v>
      </c>
      <c r="AB8" s="20">
        <f t="shared" si="1"/>
        <v>2.442829830246914</v>
      </c>
      <c r="AC8" s="20">
        <f t="shared" si="2"/>
        <v>2.5201691358024685</v>
      </c>
      <c r="AD8" s="20">
        <f t="shared" si="3"/>
        <v>2.069755617283954</v>
      </c>
      <c r="AE8" s="20">
        <f t="shared" si="4"/>
        <v>3.250609876543205</v>
      </c>
    </row>
    <row r="9" spans="1:33" x14ac:dyDescent="0.2">
      <c r="A9" s="17">
        <v>12130</v>
      </c>
      <c r="B9" s="18">
        <f>('BFI Scores'!G9-'BFI Scores'!B9)^2</f>
        <v>3.999999999999998E-2</v>
      </c>
      <c r="C9" s="18">
        <f>('BFI Scores'!H9-'BFI Scores'!C9)^2</f>
        <v>0.30127901234568011</v>
      </c>
      <c r="D9" s="18">
        <f>('BFI Scores'!I9-'BFI Scores'!D9)^2</f>
        <v>0.44296419753085725</v>
      </c>
      <c r="E9" s="18">
        <f>('BFI Scores'!J9-'BFI Scores'!E9)^2</f>
        <v>1.0353062500000001</v>
      </c>
      <c r="F9" s="18">
        <f>('BFI Scores'!K9-'BFI Scores'!F9)^2</f>
        <v>0.72250000000000014</v>
      </c>
      <c r="G9" s="18">
        <f>('BFI Scores'!L9-'BFI Scores'!B9)^2</f>
        <v>0.19140625</v>
      </c>
      <c r="H9" s="18">
        <f>('BFI Scores'!M9-'BFI Scores'!C9)^2</f>
        <v>0.24337777777777456</v>
      </c>
      <c r="I9" s="18">
        <f>('BFI Scores'!N9-'BFI Scores'!D9)^2</f>
        <v>9.610000000000031E-2</v>
      </c>
      <c r="J9" s="18">
        <f>('BFI Scores'!O9-'BFI Scores'!E9)^2</f>
        <v>3.487556249999999</v>
      </c>
      <c r="K9" s="18">
        <f>('BFI Scores'!P9-'BFI Scores'!F9)^2</f>
        <v>0.82810000000000028</v>
      </c>
      <c r="L9" s="18">
        <f>('BFI Scores'!Q9-'BFI Scores'!B9)^2</f>
        <v>0.92640624999999988</v>
      </c>
      <c r="M9" s="18">
        <f>('BFI Scores'!R9-'BFI Scores'!C9)^2</f>
        <v>1.1472790123456771</v>
      </c>
      <c r="N9" s="18">
        <f>('BFI Scores'!S9-'BFI Scores'!D9)^2</f>
        <v>0.41387777777777401</v>
      </c>
      <c r="O9" s="18">
        <f>('BFI Scores'!T9-'BFI Scores'!E9)^2</f>
        <v>2.9929000000000001</v>
      </c>
      <c r="P9" s="18">
        <f>('BFI Scores'!U9-'BFI Scores'!F9)^2</f>
        <v>0.30249999999999982</v>
      </c>
      <c r="Q9" s="18">
        <f>('BFI Scores'!V9-'BFI Scores'!B9)^2</f>
        <v>5.6406250000000019E-2</v>
      </c>
      <c r="R9" s="18">
        <f>('BFI Scores'!W9-'BFI Scores'!C9)^2</f>
        <v>0.12172345679012432</v>
      </c>
      <c r="S9" s="18">
        <f>('BFI Scores'!X9-'BFI Scores'!D9)^2</f>
        <v>0.88987777777777199</v>
      </c>
      <c r="T9" s="18">
        <f>('BFI Scores'!Y9-'BFI Scores'!E9)^2</f>
        <v>1.1664000000000001</v>
      </c>
      <c r="U9" s="18">
        <f>('BFI Scores'!Z9-'BFI Scores'!F9)^2</f>
        <v>0.73959999999999981</v>
      </c>
      <c r="V9" s="18">
        <f>('BFI Scores'!AA9-'BFI Scores'!B9)^2</f>
        <v>0.95062500000000016</v>
      </c>
      <c r="W9" s="18">
        <f>('BFI Scores'!AB9-'BFI Scores'!C9)^2</f>
        <v>0.62937777777777237</v>
      </c>
      <c r="X9" s="18">
        <f>('BFI Scores'!AC9-'BFI Scores'!D9)^2</f>
        <v>0.42829753086419192</v>
      </c>
      <c r="Y9" s="18">
        <f>('BFI Scores'!AD9-'BFI Scores'!E9)^2</f>
        <v>3.0800249999999996</v>
      </c>
      <c r="Z9" s="18">
        <f>('BFI Scores'!AE9-'BFI Scores'!F9)^2</f>
        <v>0.38440000000000013</v>
      </c>
      <c r="AA9" s="20">
        <f t="shared" si="0"/>
        <v>0.5084098919753075</v>
      </c>
      <c r="AB9" s="20">
        <f t="shared" si="1"/>
        <v>0.96930805555555488</v>
      </c>
      <c r="AC9" s="20">
        <f t="shared" si="2"/>
        <v>1.1565926080246904</v>
      </c>
      <c r="AD9" s="20">
        <f t="shared" si="3"/>
        <v>0.59480149691357931</v>
      </c>
      <c r="AE9" s="20">
        <f t="shared" si="4"/>
        <v>1.0945450617283929</v>
      </c>
    </row>
    <row r="10" spans="1:33" x14ac:dyDescent="0.2">
      <c r="A10" s="17">
        <v>12244</v>
      </c>
      <c r="B10" s="18">
        <f>('BFI Scores'!G10-'BFI Scores'!B10)^2</f>
        <v>0.12249999999999975</v>
      </c>
      <c r="C10" s="18">
        <f>('BFI Scores'!H10-'BFI Scores'!C10)^2</f>
        <v>1.5019864197530728</v>
      </c>
      <c r="D10" s="18">
        <f>('BFI Scores'!I10-'BFI Scores'!D10)^2</f>
        <v>0.14104197530863805</v>
      </c>
      <c r="E10" s="18">
        <f>('BFI Scores'!J10-'BFI Scores'!E10)^2</f>
        <v>0.7014062499999999</v>
      </c>
      <c r="F10" s="18">
        <f>('BFI Scores'!K10-'BFI Scores'!F10)^2</f>
        <v>8.99999999999999E-2</v>
      </c>
      <c r="G10" s="18">
        <f>('BFI Scores'!L10-'BFI Scores'!B10)^2</f>
        <v>3.0624999999999937E-2</v>
      </c>
      <c r="H10" s="18">
        <f>('BFI Scores'!M10-'BFI Scores'!C10)^2</f>
        <v>1.6129</v>
      </c>
      <c r="I10" s="18">
        <f>('BFI Scores'!N10-'BFI Scores'!D10)^2</f>
        <v>4.0000000000000072E-4</v>
      </c>
      <c r="J10" s="18">
        <f>('BFI Scores'!O10-'BFI Scores'!E10)^2</f>
        <v>0.85562500000000008</v>
      </c>
      <c r="K10" s="18">
        <f>('BFI Scores'!P10-'BFI Scores'!F10)^2</f>
        <v>7.8400000000000136E-2</v>
      </c>
      <c r="L10" s="18">
        <f>('BFI Scores'!Q10-'BFI Scores'!B10)^2</f>
        <v>0.20250000000000015</v>
      </c>
      <c r="M10" s="18">
        <f>('BFI Scores'!R10-'BFI Scores'!C10)^2</f>
        <v>0.27620864197531286</v>
      </c>
      <c r="N10" s="18">
        <f>('BFI Scores'!S10-'BFI Scores'!D10)^2</f>
        <v>0.37074567901234751</v>
      </c>
      <c r="O10" s="18">
        <f>('BFI Scores'!T10-'BFI Scores'!E10)^2</f>
        <v>0.85562500000000008</v>
      </c>
      <c r="P10" s="18">
        <f>('BFI Scores'!U10-'BFI Scores'!F10)^2</f>
        <v>9.9999999999999291E-3</v>
      </c>
      <c r="Q10" s="18">
        <f>('BFI Scores'!V10-'BFI Scores'!B10)^2</f>
        <v>1.2656249999999959E-2</v>
      </c>
      <c r="R10" s="18">
        <f>('BFI Scores'!W10-'BFI Scores'!C10)^2</f>
        <v>0.7960604938271566</v>
      </c>
      <c r="S10" s="18">
        <f>('BFI Scores'!X10-'BFI Scores'!D10)^2</f>
        <v>0.31859753086419285</v>
      </c>
      <c r="T10" s="18">
        <f>('BFI Scores'!Y10-'BFI Scores'!E10)^2</f>
        <v>0.45562500000000006</v>
      </c>
      <c r="U10" s="18">
        <f>('BFI Scores'!Z10-'BFI Scores'!F10)^2</f>
        <v>8.4100000000000022E-2</v>
      </c>
      <c r="V10" s="18">
        <f>('BFI Scores'!AA10-'BFI Scores'!B10)^2</f>
        <v>1.5314062499999996</v>
      </c>
      <c r="W10" s="18">
        <f>('BFI Scores'!AB10-'BFI Scores'!C10)^2</f>
        <v>0.11334444444444639</v>
      </c>
      <c r="X10" s="18">
        <f>('BFI Scores'!AC10-'BFI Scores'!D10)^2</f>
        <v>0.19951111111111397</v>
      </c>
      <c r="Y10" s="18">
        <f>('BFI Scores'!AD10-'BFI Scores'!E10)^2</f>
        <v>1.5625E-2</v>
      </c>
      <c r="Z10" s="18">
        <f>('BFI Scores'!AE10-'BFI Scores'!F10)^2</f>
        <v>2.5600000000000046E-2</v>
      </c>
      <c r="AA10" s="20">
        <f t="shared" si="0"/>
        <v>0.51138692901234206</v>
      </c>
      <c r="AB10" s="20">
        <f t="shared" si="1"/>
        <v>0.5155900000000001</v>
      </c>
      <c r="AC10" s="20">
        <f t="shared" si="2"/>
        <v>0.34301586419753216</v>
      </c>
      <c r="AD10" s="20">
        <f t="shared" si="3"/>
        <v>0.33340785493826985</v>
      </c>
      <c r="AE10" s="20">
        <f t="shared" si="4"/>
        <v>0.37709736111111203</v>
      </c>
    </row>
    <row r="11" spans="1:33" x14ac:dyDescent="0.2">
      <c r="A11" s="17">
        <v>12247</v>
      </c>
      <c r="B11" s="18">
        <f>('BFI Scores'!G11-'BFI Scores'!B11)^2</f>
        <v>8.2656250000000056E-2</v>
      </c>
      <c r="C11" s="18">
        <f>('BFI Scores'!H11-'BFI Scores'!C11)^2</f>
        <v>1.0223456790123437</v>
      </c>
      <c r="D11" s="18">
        <f>('BFI Scores'!I11-'BFI Scores'!D11)^2</f>
        <v>5.2390123456790644E-2</v>
      </c>
      <c r="E11" s="18">
        <f>('BFI Scores'!J11-'BFI Scores'!E11)^2</f>
        <v>1</v>
      </c>
      <c r="F11" s="18">
        <f>('BFI Scores'!K11-'BFI Scores'!F11)^2</f>
        <v>0.4624000000000002</v>
      </c>
      <c r="G11" s="18">
        <f>('BFI Scores'!L11-'BFI Scores'!B11)^2</f>
        <v>8.2656250000000056E-2</v>
      </c>
      <c r="H11" s="18">
        <f>('BFI Scores'!M11-'BFI Scores'!C11)^2</f>
        <v>1.16160493827161</v>
      </c>
      <c r="I11" s="18">
        <f>('BFI Scores'!N11-'BFI Scores'!D11)^2</f>
        <v>0.14779753086420175</v>
      </c>
      <c r="J11" s="18">
        <f>('BFI Scores'!O11-'BFI Scores'!E11)^2</f>
        <v>0.97515624999999961</v>
      </c>
      <c r="K11" s="18">
        <f>('BFI Scores'!P11-'BFI Scores'!F11)^2</f>
        <v>0.9025000000000003</v>
      </c>
      <c r="L11" s="18">
        <f>('BFI Scores'!Q11-'BFI Scores'!B11)^2</f>
        <v>1.2656249999999959E-2</v>
      </c>
      <c r="M11" s="18">
        <f>('BFI Scores'!R11-'BFI Scores'!C11)^2</f>
        <v>0.38716049382715773</v>
      </c>
      <c r="N11" s="18">
        <f>('BFI Scores'!S11-'BFI Scores'!D11)^2</f>
        <v>0.16537777777778037</v>
      </c>
      <c r="O11" s="18">
        <f>('BFI Scores'!T11-'BFI Scores'!E11)^2</f>
        <v>1</v>
      </c>
      <c r="P11" s="18">
        <f>('BFI Scores'!U11-'BFI Scores'!F11)^2</f>
        <v>1.8769000000000002</v>
      </c>
      <c r="Q11" s="18">
        <f>('BFI Scores'!V11-'BFI Scores'!B11)^2</f>
        <v>0.22562500000000008</v>
      </c>
      <c r="R11" s="18">
        <f>('BFI Scores'!W11-'BFI Scores'!C11)^2</f>
        <v>1.0223456790123437</v>
      </c>
      <c r="S11" s="18">
        <f>('BFI Scores'!X11-'BFI Scores'!D11)^2</f>
        <v>0.13120493827160318</v>
      </c>
      <c r="T11" s="18">
        <f>('BFI Scores'!Y11-'BFI Scores'!E11)^2</f>
        <v>1</v>
      </c>
      <c r="U11" s="18">
        <f>('BFI Scores'!Z11-'BFI Scores'!F11)^2</f>
        <v>0.28090000000000026</v>
      </c>
      <c r="V11" s="18">
        <f>('BFI Scores'!AA11-'BFI Scores'!B11)^2</f>
        <v>5.0625000000000038E-2</v>
      </c>
      <c r="W11" s="18">
        <f>('BFI Scores'!AB11-'BFI Scores'!C11)^2</f>
        <v>1.8375308641975154</v>
      </c>
      <c r="X11" s="18">
        <f>('BFI Scores'!AC11-'BFI Scores'!D11)^2</f>
        <v>1.3871604938272072E-2</v>
      </c>
      <c r="Y11" s="18">
        <f>('BFI Scores'!AD11-'BFI Scores'!E11)^2</f>
        <v>1</v>
      </c>
      <c r="Z11" s="18">
        <f>('BFI Scores'!AE11-'BFI Scores'!F11)^2</f>
        <v>2.4336000000000002</v>
      </c>
      <c r="AA11" s="20">
        <f t="shared" si="0"/>
        <v>0.52395841049382696</v>
      </c>
      <c r="AB11" s="20">
        <f t="shared" si="1"/>
        <v>0.65394299382716237</v>
      </c>
      <c r="AC11" s="20">
        <f t="shared" si="2"/>
        <v>0.68841890432098762</v>
      </c>
      <c r="AD11" s="20">
        <f t="shared" si="3"/>
        <v>0.53201512345678936</v>
      </c>
      <c r="AE11" s="20">
        <f t="shared" si="4"/>
        <v>1.0671254938271575</v>
      </c>
    </row>
    <row r="12" spans="1:33" x14ac:dyDescent="0.2">
      <c r="A12" s="17">
        <v>13267</v>
      </c>
      <c r="B12" s="18">
        <f>('BFI Scores'!G12-'BFI Scores'!B12)^2</f>
        <v>1.5625</v>
      </c>
      <c r="C12" s="18">
        <f>('BFI Scores'!H12-'BFI Scores'!C12)^2</f>
        <v>0.4355999999999996</v>
      </c>
      <c r="D12" s="18">
        <f>('BFI Scores'!I12-'BFI Scores'!D12)^2</f>
        <v>0.54760000000000031</v>
      </c>
      <c r="E12" s="18">
        <f>('BFI Scores'!J12-'BFI Scores'!E12)^2</f>
        <v>0.140625</v>
      </c>
      <c r="F12" s="18">
        <f>('BFI Scores'!K12-'BFI Scores'!F12)^2</f>
        <v>0.5625</v>
      </c>
      <c r="G12" s="18">
        <f>('BFI Scores'!L12-'BFI Scores'!B12)^2</f>
        <v>0.390625</v>
      </c>
      <c r="H12" s="18">
        <f>('BFI Scores'!M12-'BFI Scores'!C12)^2</f>
        <v>0.8794271604938122</v>
      </c>
      <c r="I12" s="18">
        <f>('BFI Scores'!N12-'BFI Scores'!D12)^2</f>
        <v>1.3507604938271565</v>
      </c>
      <c r="J12" s="18">
        <f>('BFI Scores'!O12-'BFI Scores'!E12)^2</f>
        <v>2.640625000000003E-2</v>
      </c>
      <c r="K12" s="18">
        <f>('BFI Scores'!P12-'BFI Scores'!F12)^2</f>
        <v>0.92160000000000075</v>
      </c>
      <c r="L12" s="18">
        <f>('BFI Scores'!Q12-'BFI Scores'!B12)^2</f>
        <v>0.85562499999999964</v>
      </c>
      <c r="M12" s="18">
        <f>('BFI Scores'!R12-'BFI Scores'!C12)^2</f>
        <v>1.4240444444444593</v>
      </c>
      <c r="N12" s="18">
        <f>('BFI Scores'!S12-'BFI Scores'!D12)^2</f>
        <v>0.39550123456790309</v>
      </c>
      <c r="O12" s="18">
        <f>('BFI Scores'!T12-'BFI Scores'!E12)^2</f>
        <v>3.0624999999999937E-2</v>
      </c>
      <c r="P12" s="18">
        <f>('BFI Scores'!U12-'BFI Scores'!F12)^2</f>
        <v>2.9241000000000015</v>
      </c>
      <c r="Q12" s="18">
        <f>('BFI Scores'!V12-'BFI Scores'!B12)^2</f>
        <v>1.890625</v>
      </c>
      <c r="R12" s="18">
        <f>('BFI Scores'!W12-'BFI Scores'!C12)^2</f>
        <v>0.3261679012345664</v>
      </c>
      <c r="S12" s="18">
        <f>('BFI Scores'!X12-'BFI Scores'!D12)^2</f>
        <v>1.5376000000000005</v>
      </c>
      <c r="T12" s="18">
        <f>('BFI Scores'!Y12-'BFI Scores'!E12)^2</f>
        <v>7.6562499999999842E-3</v>
      </c>
      <c r="U12" s="18">
        <f>('BFI Scores'!Z12-'BFI Scores'!F12)^2</f>
        <v>0.65610000000000079</v>
      </c>
      <c r="V12" s="18">
        <f>('BFI Scores'!AA12-'BFI Scores'!B12)^2</f>
        <v>1.1556250000000003</v>
      </c>
      <c r="W12" s="18">
        <f>('BFI Scores'!AB12-'BFI Scores'!C12)^2</f>
        <v>1.3715012345678974</v>
      </c>
      <c r="X12" s="18">
        <f>('BFI Scores'!AC12-'BFI Scores'!D12)^2</f>
        <v>1.8255012345678996</v>
      </c>
      <c r="Y12" s="18">
        <f>('BFI Scores'!AD12-'BFI Scores'!E12)^2</f>
        <v>0.95062500000000016</v>
      </c>
      <c r="Z12" s="18">
        <f>('BFI Scores'!AE12-'BFI Scores'!F12)^2</f>
        <v>1.2100000000000011</v>
      </c>
      <c r="AA12" s="20">
        <f t="shared" si="0"/>
        <v>0.64976500000000004</v>
      </c>
      <c r="AB12" s="20">
        <f t="shared" si="1"/>
        <v>0.7137637808641939</v>
      </c>
      <c r="AC12" s="20">
        <f t="shared" si="2"/>
        <v>1.1259791358024729</v>
      </c>
      <c r="AD12" s="20">
        <f t="shared" si="3"/>
        <v>0.88362983024691355</v>
      </c>
      <c r="AE12" s="20">
        <f t="shared" si="4"/>
        <v>1.3026504938271597</v>
      </c>
    </row>
    <row r="13" spans="1:33" x14ac:dyDescent="0.2">
      <c r="A13" s="17">
        <v>14347</v>
      </c>
      <c r="B13" s="18">
        <f>('BFI Scores'!G13-'BFI Scores'!B13)^2</f>
        <v>2.0520562500000001</v>
      </c>
      <c r="C13" s="18">
        <f>('BFI Scores'!H13-'BFI Scores'!C13)^2</f>
        <v>2.2167901234567928</v>
      </c>
      <c r="D13" s="18">
        <f>('BFI Scores'!I13-'BFI Scores'!D13)^2</f>
        <v>3.567901234567906</v>
      </c>
      <c r="E13" s="18">
        <f>('BFI Scores'!J13-'BFI Scores'!E13)^2</f>
        <v>0.5625</v>
      </c>
      <c r="F13" s="18">
        <f>('BFI Scores'!K13-'BFI Scores'!F13)^2</f>
        <v>0.9025000000000003</v>
      </c>
      <c r="G13" s="18">
        <f>('BFI Scores'!L13-'BFI Scores'!B13)^2</f>
        <v>2.0880250000000009</v>
      </c>
      <c r="H13" s="18">
        <f>('BFI Scores'!M13-'BFI Scores'!C13)^2</f>
        <v>1.4400000000000004</v>
      </c>
      <c r="I13" s="18">
        <f>('BFI Scores'!N13-'BFI Scores'!D13)^2</f>
        <v>8.8671604938271749</v>
      </c>
      <c r="J13" s="18">
        <f>('BFI Scores'!O13-'BFI Scores'!E13)^2</f>
        <v>1.265625000000001E-2</v>
      </c>
      <c r="K13" s="18">
        <f>('BFI Scores'!P13-'BFI Scores'!F13)^2</f>
        <v>1.9600000000000011</v>
      </c>
      <c r="L13" s="18">
        <f>('BFI Scores'!Q13-'BFI Scores'!B13)^2</f>
        <v>1.3398062499999994</v>
      </c>
      <c r="M13" s="18">
        <f>('BFI Scores'!R13-'BFI Scores'!C13)^2</f>
        <v>3.361111111111136</v>
      </c>
      <c r="N13" s="18">
        <f>('BFI Scores'!S13-'BFI Scores'!D13)^2</f>
        <v>8.3456790123456859</v>
      </c>
      <c r="O13" s="18">
        <f>('BFI Scores'!T13-'BFI Scores'!E13)^2</f>
        <v>0.50765624999999992</v>
      </c>
      <c r="P13" s="18">
        <f>('BFI Scores'!U13-'BFI Scores'!F13)^2</f>
        <v>3.5721000000000003</v>
      </c>
      <c r="Q13" s="18">
        <f>('BFI Scores'!V13-'BFI Scores'!B13)^2</f>
        <v>2.3485562499999992</v>
      </c>
      <c r="R13" s="18">
        <f>('BFI Scores'!W13-'BFI Scores'!C13)^2</f>
        <v>2.7408641975308785</v>
      </c>
      <c r="S13" s="18">
        <f>('BFI Scores'!X13-'BFI Scores'!D13)^2</f>
        <v>7.0519753086419987</v>
      </c>
      <c r="T13" s="18">
        <f>('BFI Scores'!Y13-'BFI Scores'!E13)^2</f>
        <v>0.80999999999999983</v>
      </c>
      <c r="U13" s="18">
        <f>('BFI Scores'!Z13-'BFI Scores'!F13)^2</f>
        <v>2.6244000000000005</v>
      </c>
      <c r="V13" s="18">
        <f>('BFI Scores'!AA13-'BFI Scores'!B13)^2</f>
        <v>2.1608999999999994</v>
      </c>
      <c r="W13" s="18">
        <f>('BFI Scores'!AB13-'BFI Scores'!C13)^2</f>
        <v>2.1511111111111205</v>
      </c>
      <c r="X13" s="18">
        <f>('BFI Scores'!AC13-'BFI Scores'!D13)^2</f>
        <v>6.25</v>
      </c>
      <c r="Y13" s="18">
        <f>('BFI Scores'!AD13-'BFI Scores'!E13)^2</f>
        <v>0.83265625000000021</v>
      </c>
      <c r="Z13" s="18">
        <f>('BFI Scores'!AE13-'BFI Scores'!F13)^2</f>
        <v>1.2769000000000008</v>
      </c>
      <c r="AA13" s="20">
        <f t="shared" si="0"/>
        <v>1.8603495216049395</v>
      </c>
      <c r="AB13" s="20">
        <f t="shared" si="1"/>
        <v>2.8735683487654353</v>
      </c>
      <c r="AC13" s="20">
        <f t="shared" si="2"/>
        <v>3.4252705246913644</v>
      </c>
      <c r="AD13" s="20">
        <f t="shared" si="3"/>
        <v>3.1151591512345753</v>
      </c>
      <c r="AE13" s="20">
        <f t="shared" si="4"/>
        <v>2.534313472222224</v>
      </c>
    </row>
    <row r="14" spans="1:33" x14ac:dyDescent="0.2">
      <c r="A14" s="17">
        <v>14820</v>
      </c>
      <c r="B14" s="18">
        <f>('BFI Scores'!G14-'BFI Scores'!B14)^2</f>
        <v>6.1504000000000003</v>
      </c>
      <c r="C14" s="18">
        <f>('BFI Scores'!H14-'BFI Scores'!C14)^2</f>
        <v>5.8671604938270373E-2</v>
      </c>
      <c r="D14" s="18">
        <f>('BFI Scores'!I14-'BFI Scores'!D14)^2</f>
        <v>0.79209999999999947</v>
      </c>
      <c r="E14" s="18">
        <f>('BFI Scores'!J14-'BFI Scores'!E14)^2</f>
        <v>2.5600000000000005</v>
      </c>
      <c r="F14" s="18">
        <f>('BFI Scores'!K14-'BFI Scores'!F14)^2</f>
        <v>1.8495999999999984</v>
      </c>
      <c r="G14" s="18">
        <f>('BFI Scores'!L14-'BFI Scores'!B14)^2</f>
        <v>5.9658062499999991</v>
      </c>
      <c r="H14" s="18">
        <f>('BFI Scores'!M14-'BFI Scores'!C14)^2</f>
        <v>0.11711604938271436</v>
      </c>
      <c r="I14" s="18">
        <f>('BFI Scores'!N14-'BFI Scores'!D14)^2</f>
        <v>0.93659382716049788</v>
      </c>
      <c r="J14" s="18">
        <f>('BFI Scores'!O14-'BFI Scores'!E14)^2</f>
        <v>1.1826562499999997</v>
      </c>
      <c r="K14" s="18">
        <f>('BFI Scores'!P14-'BFI Scores'!F14)^2</f>
        <v>3.0275999999999992</v>
      </c>
      <c r="L14" s="18">
        <f>('BFI Scores'!Q14-'BFI Scores'!B14)^2</f>
        <v>5.4289000000000005</v>
      </c>
      <c r="M14" s="18">
        <f>('BFI Scores'!R14-'BFI Scores'!C14)^2</f>
        <v>1.7827160493825234E-3</v>
      </c>
      <c r="N14" s="18">
        <f>('BFI Scores'!S14-'BFI Scores'!D14)^2</f>
        <v>2.5280999999999993</v>
      </c>
      <c r="O14" s="18">
        <f>('BFI Scores'!T14-'BFI Scores'!E14)^2</f>
        <v>1</v>
      </c>
      <c r="P14" s="18">
        <f>('BFI Scores'!U14-'BFI Scores'!F14)^2</f>
        <v>2.4963999999999986</v>
      </c>
      <c r="Q14" s="18">
        <f>('BFI Scores'!V14-'BFI Scores'!B14)^2</f>
        <v>5.1983999999999995</v>
      </c>
      <c r="R14" s="18">
        <f>('BFI Scores'!W14-'BFI Scores'!C14)^2</f>
        <v>4.1530864197538127E-3</v>
      </c>
      <c r="S14" s="18">
        <f>('BFI Scores'!X14-'BFI Scores'!D14)^2</f>
        <v>2.4928901234567924</v>
      </c>
      <c r="T14" s="18">
        <f>('BFI Scores'!Y14-'BFI Scores'!E14)^2</f>
        <v>1.3224999999999998</v>
      </c>
      <c r="U14" s="18">
        <f>('BFI Scores'!Z14-'BFI Scores'!F14)^2</f>
        <v>1.8768999999999991</v>
      </c>
      <c r="V14" s="18">
        <f>('BFI Scores'!AA14-'BFI Scores'!B14)^2</f>
        <v>2.6163062499999992</v>
      </c>
      <c r="W14" s="18">
        <f>('BFI Scores'!AB14-'BFI Scores'!C14)^2</f>
        <v>4.7456790123458163E-3</v>
      </c>
      <c r="X14" s="18">
        <f>('BFI Scores'!AC14-'BFI Scores'!D14)^2</f>
        <v>3.0469641975308788</v>
      </c>
      <c r="Y14" s="18">
        <f>('BFI Scores'!AD14-'BFI Scores'!E14)^2</f>
        <v>1.265625</v>
      </c>
      <c r="Z14" s="18">
        <f>('BFI Scores'!AE14-'BFI Scores'!F14)^2</f>
        <v>1.1235999999999993</v>
      </c>
      <c r="AA14" s="20">
        <f t="shared" si="0"/>
        <v>2.2821543209876536</v>
      </c>
      <c r="AB14" s="20">
        <f t="shared" si="1"/>
        <v>2.245954475308642</v>
      </c>
      <c r="AC14" s="20">
        <f t="shared" si="2"/>
        <v>2.2910365432098763</v>
      </c>
      <c r="AD14" s="20">
        <f t="shared" si="3"/>
        <v>2.1789686419753087</v>
      </c>
      <c r="AE14" s="20">
        <f t="shared" si="4"/>
        <v>1.6114482253086446</v>
      </c>
    </row>
    <row r="15" spans="1:33" x14ac:dyDescent="0.2">
      <c r="A15" s="17">
        <v>16267</v>
      </c>
      <c r="B15" s="18">
        <f>('BFI Scores'!G15-'BFI Scores'!B15)^2</f>
        <v>1.3224999999999998</v>
      </c>
      <c r="C15" s="18">
        <f>('BFI Scores'!H15-'BFI Scores'!C15)^2</f>
        <v>2.9641975308647857E-3</v>
      </c>
      <c r="D15" s="18">
        <f>('BFI Scores'!I15-'BFI Scores'!D15)^2</f>
        <v>9.679012345678446E-4</v>
      </c>
      <c r="E15" s="18">
        <f>('BFI Scores'!J15-'BFI Scores'!E15)^2</f>
        <v>1.6899999999999971E-2</v>
      </c>
      <c r="F15" s="18">
        <f>('BFI Scores'!K15-'BFI Scores'!F15)^2</f>
        <v>0.92159999999999997</v>
      </c>
      <c r="G15" s="18">
        <f>('BFI Scores'!L15-'BFI Scores'!B15)^2</f>
        <v>1.7556250000000004</v>
      </c>
      <c r="H15" s="18">
        <f>('BFI Scores'!M15-'BFI Scores'!C15)^2</f>
        <v>1.0382716049381097E-3</v>
      </c>
      <c r="I15" s="18">
        <f>('BFI Scores'!N15-'BFI Scores'!D15)^2</f>
        <v>2.1511111111111973E-2</v>
      </c>
      <c r="J15" s="18">
        <f>('BFI Scores'!O15-'BFI Scores'!E15)^2</f>
        <v>1.6899999999999971E-2</v>
      </c>
      <c r="K15" s="18">
        <f>('BFI Scores'!P15-'BFI Scores'!F15)^2</f>
        <v>1.2100000000000002</v>
      </c>
      <c r="L15" s="18">
        <f>('BFI Scores'!Q15-'BFI Scores'!B15)^2</f>
        <v>0.74390624999999966</v>
      </c>
      <c r="M15" s="18">
        <f>('BFI Scores'!R15-'BFI Scores'!C15)^2</f>
        <v>1.1864197530861175E-3</v>
      </c>
      <c r="N15" s="18">
        <f>('BFI Scores'!S15-'BFI Scores'!D15)^2</f>
        <v>0.59119012345679123</v>
      </c>
      <c r="O15" s="18">
        <f>('BFI Scores'!T15-'BFI Scores'!E15)^2</f>
        <v>1.6899999999999971E-2</v>
      </c>
      <c r="P15" s="18">
        <f>('BFI Scores'!U15-'BFI Scores'!F15)^2</f>
        <v>1.3456000000000004</v>
      </c>
      <c r="Q15" s="18">
        <f>('BFI Scores'!V15-'BFI Scores'!B15)^2</f>
        <v>5.0625</v>
      </c>
      <c r="R15" s="18">
        <f>('BFI Scores'!W15-'BFI Scores'!C15)^2</f>
        <v>1.521111111111028E-2</v>
      </c>
      <c r="S15" s="18">
        <f>('BFI Scores'!X15-'BFI Scores'!D15)^2</f>
        <v>8.3012345679009981E-3</v>
      </c>
      <c r="T15" s="18">
        <f>('BFI Scores'!Y15-'BFI Scores'!E15)^2</f>
        <v>4.7306249999999918E-2</v>
      </c>
      <c r="U15" s="18">
        <f>('BFI Scores'!Z15-'BFI Scores'!F15)^2</f>
        <v>0.27040000000000003</v>
      </c>
      <c r="V15" s="18">
        <f>('BFI Scores'!AA15-'BFI Scores'!B15)^2</f>
        <v>5.5814062499999988</v>
      </c>
      <c r="W15" s="18">
        <f>('BFI Scores'!AB15-'BFI Scores'!C15)^2</f>
        <v>4.4099999999999986E-2</v>
      </c>
      <c r="X15" s="18">
        <f>('BFI Scores'!AC15-'BFI Scores'!D15)^2</f>
        <v>0.64356049382715652</v>
      </c>
      <c r="Y15" s="18">
        <f>('BFI Scores'!AD15-'BFI Scores'!E15)^2</f>
        <v>5.2899999999999989E-2</v>
      </c>
      <c r="Z15" s="18">
        <f>('BFI Scores'!AE15-'BFI Scores'!F15)^2</f>
        <v>0.34810000000000035</v>
      </c>
      <c r="AA15" s="20">
        <f t="shared" si="0"/>
        <v>0.45298641975308646</v>
      </c>
      <c r="AB15" s="20">
        <f t="shared" si="1"/>
        <v>0.60101487654321006</v>
      </c>
      <c r="AC15" s="20">
        <f t="shared" si="2"/>
        <v>0.53975655864197547</v>
      </c>
      <c r="AD15" s="20">
        <f t="shared" si="3"/>
        <v>1.0807437191358025</v>
      </c>
      <c r="AE15" s="20">
        <f t="shared" si="4"/>
        <v>1.3340133487654313</v>
      </c>
    </row>
    <row r="16" spans="1:33" x14ac:dyDescent="0.2">
      <c r="A16" s="17">
        <v>16483</v>
      </c>
      <c r="B16" s="18">
        <f>('BFI Scores'!G16-'BFI Scores'!B16)^2</f>
        <v>9.302499999999983E-2</v>
      </c>
      <c r="C16" s="18">
        <f>('BFI Scores'!H16-'BFI Scores'!C16)^2</f>
        <v>3.2801234567900871E-2</v>
      </c>
      <c r="D16" s="18">
        <f>('BFI Scores'!I16-'BFI Scores'!D16)^2</f>
        <v>5.2899999999999989E-2</v>
      </c>
      <c r="E16" s="18">
        <f>('BFI Scores'!J16-'BFI Scores'!E16)^2</f>
        <v>1.1024999999999996</v>
      </c>
      <c r="F16" s="18">
        <f>('BFI Scores'!K16-'BFI Scores'!F16)^2</f>
        <v>5.7599999999999887E-2</v>
      </c>
      <c r="G16" s="18">
        <f>('BFI Scores'!L16-'BFI Scores'!B16)^2</f>
        <v>0.24255624999999972</v>
      </c>
      <c r="H16" s="18">
        <f>('BFI Scores'!M16-'BFI Scores'!C16)^2</f>
        <v>0.12094938271605074</v>
      </c>
      <c r="I16" s="18">
        <f>('BFI Scores'!N16-'BFI Scores'!D16)^2</f>
        <v>6.3616049382714882E-2</v>
      </c>
      <c r="J16" s="18">
        <f>('BFI Scores'!O16-'BFI Scores'!E16)^2</f>
        <v>9.765625E-2</v>
      </c>
      <c r="K16" s="18">
        <f>('BFI Scores'!P16-'BFI Scores'!F16)^2</f>
        <v>8.0999999999999753E-3</v>
      </c>
      <c r="L16" s="18">
        <f>('BFI Scores'!Q16-'BFI Scores'!B16)^2</f>
        <v>4.3056250000000004E-2</v>
      </c>
      <c r="M16" s="18">
        <f>('BFI Scores'!R16-'BFI Scores'!C16)^2</f>
        <v>7.9023456790122695E-2</v>
      </c>
      <c r="N16" s="18">
        <f>('BFI Scores'!S16-'BFI Scores'!D16)^2</f>
        <v>0.19457901234567795</v>
      </c>
      <c r="O16" s="18">
        <f>('BFI Scores'!T16-'BFI Scores'!E16)^2</f>
        <v>1.5314062499999996</v>
      </c>
      <c r="P16" s="18">
        <f>('BFI Scores'!U16-'BFI Scores'!F16)^2</f>
        <v>0.1521000000000001</v>
      </c>
      <c r="Q16" s="18">
        <f>('BFI Scores'!V16-'BFI Scores'!B16)^2</f>
        <v>2.1025000000000005E-2</v>
      </c>
      <c r="R16" s="18">
        <f>('BFI Scores'!W16-'BFI Scores'!C16)^2</f>
        <v>1.3097530864196544E-2</v>
      </c>
      <c r="S16" s="18">
        <f>('BFI Scores'!X16-'BFI Scores'!D16)^2</f>
        <v>0.35601111111111539</v>
      </c>
      <c r="T16" s="18">
        <f>('BFI Scores'!Y16-'BFI Scores'!E16)^2</f>
        <v>0.3751562499999998</v>
      </c>
      <c r="U16" s="18">
        <f>('BFI Scores'!Z16-'BFI Scores'!F16)^2</f>
        <v>0.10239999999999989</v>
      </c>
      <c r="V16" s="18">
        <f>('BFI Scores'!AA16-'BFI Scores'!B16)^2</f>
        <v>0.53655624999999985</v>
      </c>
      <c r="W16" s="18">
        <f>('BFI Scores'!AB16-'BFI Scores'!C16)^2</f>
        <v>0.22089999999999976</v>
      </c>
      <c r="X16" s="18">
        <f>('BFI Scores'!AC16-'BFI Scores'!D16)^2</f>
        <v>0.35601111111111539</v>
      </c>
      <c r="Y16" s="18">
        <f>('BFI Scores'!AD16-'BFI Scores'!E16)^2</f>
        <v>0.17015625000000006</v>
      </c>
      <c r="Z16" s="18">
        <f>('BFI Scores'!AE16-'BFI Scores'!F16)^2</f>
        <v>4.0000000000000072E-4</v>
      </c>
      <c r="AA16" s="20">
        <f t="shared" si="0"/>
        <v>0.26776524691358006</v>
      </c>
      <c r="AB16" s="20">
        <f t="shared" si="1"/>
        <v>0.10657558641975307</v>
      </c>
      <c r="AC16" s="20">
        <f t="shared" si="2"/>
        <v>0.40003299382716007</v>
      </c>
      <c r="AD16" s="20">
        <f t="shared" si="3"/>
        <v>0.17353797839506233</v>
      </c>
      <c r="AE16" s="20">
        <f t="shared" si="4"/>
        <v>0.256804722222223</v>
      </c>
    </row>
    <row r="17" spans="1:31" x14ac:dyDescent="0.2">
      <c r="A17" s="17">
        <v>16588</v>
      </c>
      <c r="B17" s="18">
        <f>('BFI Scores'!G17-'BFI Scores'!B17)^2</f>
        <v>0.44889999999999991</v>
      </c>
      <c r="C17" s="18">
        <f>('BFI Scores'!H17-'BFI Scores'!C17)^2</f>
        <v>7.5111111111116893E-3</v>
      </c>
      <c r="D17" s="18">
        <f>('BFI Scores'!I17-'BFI Scores'!D17)^2</f>
        <v>0.25446419753085953</v>
      </c>
      <c r="E17" s="18">
        <f>('BFI Scores'!J17-'BFI Scores'!E17)^2</f>
        <v>0.58905625000000006</v>
      </c>
      <c r="F17" s="18">
        <f>('BFI Scores'!K17-'BFI Scores'!F17)^2</f>
        <v>2.2500000000000107E-2</v>
      </c>
      <c r="G17" s="18">
        <f>('BFI Scores'!L17-'BFI Scores'!B17)^2</f>
        <v>0.40005625000000034</v>
      </c>
      <c r="H17" s="18">
        <f>('BFI Scores'!M17-'BFI Scores'!C17)^2</f>
        <v>5.8671604938270804E-2</v>
      </c>
      <c r="I17" s="18">
        <f>('BFI Scores'!N17-'BFI Scores'!D17)^2</f>
        <v>1.8195012345679034</v>
      </c>
      <c r="J17" s="18">
        <f>('BFI Scores'!O17-'BFI Scores'!E17)^2</f>
        <v>0.126025</v>
      </c>
      <c r="K17" s="18">
        <f>('BFI Scores'!P17-'BFI Scores'!F17)^2</f>
        <v>1.0404</v>
      </c>
      <c r="L17" s="18">
        <f>('BFI Scores'!Q17-'BFI Scores'!B17)^2</f>
        <v>0.126025</v>
      </c>
      <c r="M17" s="18">
        <f>('BFI Scores'!R17-'BFI Scores'!C17)^2</f>
        <v>4.1530864197538127E-3</v>
      </c>
      <c r="N17" s="18">
        <f>('BFI Scores'!S17-'BFI Scores'!D17)^2</f>
        <v>3.9733777777777628</v>
      </c>
      <c r="O17" s="18">
        <f>('BFI Scores'!T17-'BFI Scores'!E17)^2</f>
        <v>3.0625000000000248E-4</v>
      </c>
      <c r="P17" s="18">
        <f>('BFI Scores'!U17-'BFI Scores'!F17)^2</f>
        <v>2.4336000000000002</v>
      </c>
      <c r="Q17" s="18">
        <f>('BFI Scores'!V17-'BFI Scores'!B17)^2</f>
        <v>0.51840000000000031</v>
      </c>
      <c r="R17" s="18">
        <f>('BFI Scores'!W17-'BFI Scores'!C17)^2</f>
        <v>1.7827160493825609E-3</v>
      </c>
      <c r="S17" s="18">
        <f>('BFI Scores'!X17-'BFI Scores'!D17)^2</f>
        <v>0.52804444444444887</v>
      </c>
      <c r="T17" s="18">
        <f>('BFI Scores'!Y17-'BFI Scores'!E17)^2</f>
        <v>0.25502499999999989</v>
      </c>
      <c r="U17" s="18">
        <f>('BFI Scores'!Z17-'BFI Scores'!F17)^2</f>
        <v>3.6100000000000146E-2</v>
      </c>
      <c r="V17" s="18">
        <f>('BFI Scores'!AA17-'BFI Scores'!B17)^2</f>
        <v>1.2825562500000007</v>
      </c>
      <c r="W17" s="18">
        <f>('BFI Scores'!AB17-'BFI Scores'!C17)^2</f>
        <v>0.35733827160494114</v>
      </c>
      <c r="X17" s="18">
        <f>('BFI Scores'!AC17-'BFI Scores'!D17)^2</f>
        <v>0.57759999999999967</v>
      </c>
      <c r="Y17" s="18">
        <f>('BFI Scores'!AD17-'BFI Scores'!E17)^2</f>
        <v>0.17430625</v>
      </c>
      <c r="Z17" s="18">
        <f>('BFI Scores'!AE17-'BFI Scores'!F17)^2</f>
        <v>4.4099999999999986E-2</v>
      </c>
      <c r="AA17" s="20">
        <f t="shared" si="0"/>
        <v>0.26448631172839432</v>
      </c>
      <c r="AB17" s="20">
        <f t="shared" si="1"/>
        <v>0.68893081790123489</v>
      </c>
      <c r="AC17" s="20">
        <f t="shared" si="2"/>
        <v>1.3074924228395033</v>
      </c>
      <c r="AD17" s="20">
        <f t="shared" si="3"/>
        <v>0.26787043209876638</v>
      </c>
      <c r="AE17" s="20">
        <f t="shared" si="4"/>
        <v>0.48718015432098827</v>
      </c>
    </row>
    <row r="18" spans="1:31" x14ac:dyDescent="0.2">
      <c r="A18" s="17">
        <v>16708</v>
      </c>
      <c r="B18" s="18">
        <f>('BFI Scores'!G18-'BFI Scores'!B18)^2</f>
        <v>0.48302500000000037</v>
      </c>
      <c r="C18" s="18">
        <f>('BFI Scores'!H18-'BFI Scores'!C18)^2</f>
        <v>0.50094938271603884</v>
      </c>
      <c r="D18" s="18">
        <f>('BFI Scores'!I18-'BFI Scores'!D18)^2</f>
        <v>0.11037160493827011</v>
      </c>
      <c r="E18" s="18">
        <f>('BFI Scores'!J18-'BFI Scores'!E18)^2</f>
        <v>1.1664000000000001</v>
      </c>
      <c r="F18" s="18">
        <f>('BFI Scores'!K18-'BFI Scores'!F18)^2</f>
        <v>0</v>
      </c>
      <c r="G18" s="18">
        <f>('BFI Scores'!L18-'BFI Scores'!B18)^2</f>
        <v>1.1718062499999999</v>
      </c>
      <c r="H18" s="18">
        <f>('BFI Scores'!M18-'BFI Scores'!C18)^2</f>
        <v>0.3173444444444406</v>
      </c>
      <c r="I18" s="18">
        <f>('BFI Scores'!N18-'BFI Scores'!D18)^2</f>
        <v>2.9641975308647857E-3</v>
      </c>
      <c r="J18" s="18">
        <f>('BFI Scores'!O18-'BFI Scores'!E18)^2</f>
        <v>6.2125562499999987</v>
      </c>
      <c r="K18" s="18">
        <f>('BFI Scores'!P18-'BFI Scores'!F18)^2</f>
        <v>1.0000000000000461E-4</v>
      </c>
      <c r="L18" s="18">
        <f>('BFI Scores'!Q18-'BFI Scores'!B18)^2</f>
        <v>0.46580625000000014</v>
      </c>
      <c r="M18" s="18">
        <f>('BFI Scores'!R18-'BFI Scores'!C18)^2</f>
        <v>0.17546790123456918</v>
      </c>
      <c r="N18" s="18">
        <f>('BFI Scores'!S18-'BFI Scores'!D18)^2</f>
        <v>5.9211111111109521E-2</v>
      </c>
      <c r="O18" s="18">
        <f>('BFI Scores'!T18-'BFI Scores'!E18)^2</f>
        <v>6.2125562499999987</v>
      </c>
      <c r="P18" s="18">
        <f>('BFI Scores'!U18-'BFI Scores'!F18)^2</f>
        <v>1.2099999999999972E-2</v>
      </c>
      <c r="Q18" s="18">
        <f>('BFI Scores'!V18-'BFI Scores'!B18)^2</f>
        <v>0.96530624999999981</v>
      </c>
      <c r="R18" s="18">
        <f>('BFI Scores'!W18-'BFI Scores'!C18)^2</f>
        <v>0.59976419753085775</v>
      </c>
      <c r="S18" s="18">
        <f>('BFI Scores'!X18-'BFI Scores'!D18)^2</f>
        <v>0.20651975308642459</v>
      </c>
      <c r="T18" s="18">
        <f>('BFI Scores'!Y18-'BFI Scores'!E18)^2</f>
        <v>1.1130249999999995</v>
      </c>
      <c r="U18" s="18">
        <f>('BFI Scores'!Z18-'BFI Scores'!F18)^2</f>
        <v>6.4000000000000116E-3</v>
      </c>
      <c r="V18" s="18">
        <f>('BFI Scores'!AA18-'BFI Scores'!B18)^2</f>
        <v>2.7888999999999999</v>
      </c>
      <c r="W18" s="18">
        <f>('BFI Scores'!AB18-'BFI Scores'!C18)^2</f>
        <v>0.5329000000000006</v>
      </c>
      <c r="X18" s="18">
        <f>('BFI Scores'!AC18-'BFI Scores'!D18)^2</f>
        <v>7.7049382716053204E-3</v>
      </c>
      <c r="Y18" s="18">
        <f>('BFI Scores'!AD18-'BFI Scores'!E18)^2</f>
        <v>1.7689000000000001</v>
      </c>
      <c r="Z18" s="18">
        <f>('BFI Scores'!AE18-'BFI Scores'!F18)^2</f>
        <v>3.6000000000000064E-3</v>
      </c>
      <c r="AA18" s="20">
        <f t="shared" si="0"/>
        <v>0.45214919753086191</v>
      </c>
      <c r="AB18" s="20">
        <f t="shared" si="1"/>
        <v>1.5409542283950608</v>
      </c>
      <c r="AC18" s="20">
        <f t="shared" si="2"/>
        <v>1.3850283024691357</v>
      </c>
      <c r="AD18" s="20">
        <f t="shared" si="3"/>
        <v>0.57820304012345647</v>
      </c>
      <c r="AE18" s="20">
        <f t="shared" si="4"/>
        <v>1.020400987654321</v>
      </c>
    </row>
    <row r="19" spans="1:31" x14ac:dyDescent="0.2">
      <c r="A19" s="17">
        <v>17638</v>
      </c>
      <c r="B19" s="18">
        <f>('BFI Scores'!G19-'BFI Scores'!B19)^2</f>
        <v>1.3806249999999995</v>
      </c>
      <c r="C19" s="18">
        <f>('BFI Scores'!H19-'BFI Scores'!C19)^2</f>
        <v>5.0375308641973517E-2</v>
      </c>
      <c r="D19" s="18">
        <f>('BFI Scores'!I19-'BFI Scores'!D19)^2</f>
        <v>1.3663012345679038</v>
      </c>
      <c r="E19" s="18">
        <f>('BFI Scores'!J19-'BFI Scores'!E19)^2</f>
        <v>0.25502499999999989</v>
      </c>
      <c r="F19" s="18">
        <f>('BFI Scores'!K19-'BFI Scores'!F19)^2</f>
        <v>0.77439999999999987</v>
      </c>
      <c r="G19" s="18">
        <f>('BFI Scores'!L19-'BFI Scores'!B19)^2</f>
        <v>2.7224999999999997</v>
      </c>
      <c r="H19" s="18">
        <f>('BFI Scores'!M19-'BFI Scores'!C19)^2</f>
        <v>2.1777777777772151E-3</v>
      </c>
      <c r="I19" s="18">
        <f>('BFI Scores'!N19-'BFI Scores'!D19)^2</f>
        <v>0.85459753086418888</v>
      </c>
      <c r="J19" s="18">
        <f>('BFI Scores'!O19-'BFI Scores'!E19)^2</f>
        <v>0.25502499999999989</v>
      </c>
      <c r="K19" s="18">
        <f>('BFI Scores'!P19-'BFI Scores'!F19)^2</f>
        <v>1.2544000000000002</v>
      </c>
      <c r="L19" s="18">
        <f>('BFI Scores'!Q19-'BFI Scores'!B19)^2</f>
        <v>1.6576562500000003</v>
      </c>
      <c r="M19" s="18">
        <f>('BFI Scores'!R19-'BFI Scores'!C19)^2</f>
        <v>9.5412345679012814E-2</v>
      </c>
      <c r="N19" s="18">
        <f>('BFI Scores'!S19-'BFI Scores'!D19)^2</f>
        <v>1.9351901234567861</v>
      </c>
      <c r="O19" s="18">
        <f>('BFI Scores'!T19-'BFI Scores'!E19)^2</f>
        <v>2.0093062499999998</v>
      </c>
      <c r="P19" s="18">
        <f>('BFI Scores'!U19-'BFI Scores'!F19)^2</f>
        <v>2.2201</v>
      </c>
      <c r="Q19" s="18">
        <f>('BFI Scores'!V19-'BFI Scores'!B19)^2</f>
        <v>0.74390624999999966</v>
      </c>
      <c r="R19" s="18">
        <f>('BFI Scores'!W19-'BFI Scores'!C19)^2</f>
        <v>7.230123456790187E-2</v>
      </c>
      <c r="S19" s="18">
        <f>('BFI Scores'!X19-'BFI Scores'!D19)^2</f>
        <v>1.9662271604938204</v>
      </c>
      <c r="T19" s="18">
        <f>('BFI Scores'!Y19-'BFI Scores'!E19)^2</f>
        <v>0.98505624999999941</v>
      </c>
      <c r="U19" s="18">
        <f>('BFI Scores'!Z19-'BFI Scores'!F19)^2</f>
        <v>0.26009999999999978</v>
      </c>
      <c r="V19" s="18">
        <f>('BFI Scores'!AA19-'BFI Scores'!B19)^2</f>
        <v>0.12250000000000007</v>
      </c>
      <c r="W19" s="18">
        <f>('BFI Scores'!AB19-'BFI Scores'!C19)^2</f>
        <v>0.12484444444444205</v>
      </c>
      <c r="X19" s="18">
        <f>('BFI Scores'!AC19-'BFI Scores'!D19)^2</f>
        <v>1.8135111111111195</v>
      </c>
      <c r="Y19" s="18">
        <f>('BFI Scores'!AD19-'BFI Scores'!E19)^2</f>
        <v>1.7030249999999993</v>
      </c>
      <c r="Z19" s="18">
        <f>('BFI Scores'!AE19-'BFI Scores'!F19)^2</f>
        <v>0.67239999999999978</v>
      </c>
      <c r="AA19" s="20">
        <f t="shared" si="0"/>
        <v>0.76534530864197536</v>
      </c>
      <c r="AB19" s="20">
        <f t="shared" si="1"/>
        <v>1.0177400617283934</v>
      </c>
      <c r="AC19" s="20">
        <f t="shared" si="2"/>
        <v>1.5835329938271598</v>
      </c>
      <c r="AD19" s="20">
        <f t="shared" si="3"/>
        <v>0.80551817901234413</v>
      </c>
      <c r="AE19" s="20">
        <f t="shared" si="4"/>
        <v>0.88725611111111213</v>
      </c>
    </row>
    <row r="20" spans="1:31" x14ac:dyDescent="0.2">
      <c r="A20" s="17">
        <v>18656</v>
      </c>
      <c r="B20" s="18">
        <f>('BFI Scores'!G20-'BFI Scores'!B20)^2</f>
        <v>0.81902499999999967</v>
      </c>
      <c r="C20" s="18">
        <f>('BFI Scores'!H20-'BFI Scores'!C20)^2</f>
        <v>3.4019753086421869E-2</v>
      </c>
      <c r="D20" s="18">
        <f>('BFI Scores'!I20-'BFI Scores'!D20)^2</f>
        <v>0.31235679012345813</v>
      </c>
      <c r="E20" s="18">
        <f>('BFI Scores'!J20-'BFI Scores'!E20)^2</f>
        <v>5.6406250000000019E-2</v>
      </c>
      <c r="F20" s="18">
        <f>('BFI Scores'!K20-'BFI Scores'!F20)^2</f>
        <v>0.73960000000000059</v>
      </c>
      <c r="G20" s="18">
        <f>('BFI Scores'!L20-'BFI Scores'!B20)^2</f>
        <v>1.3630562499999999</v>
      </c>
      <c r="H20" s="18">
        <f>('BFI Scores'!M20-'BFI Scores'!C20)^2</f>
        <v>1.9753086419711894E-5</v>
      </c>
      <c r="I20" s="18">
        <f>('BFI Scores'!N20-'BFI Scores'!D20)^2</f>
        <v>0.3249000000000003</v>
      </c>
      <c r="J20" s="18">
        <f>('BFI Scores'!O20-'BFI Scores'!E20)^2</f>
        <v>0.140625</v>
      </c>
      <c r="K20" s="18">
        <f>('BFI Scores'!P20-'BFI Scores'!F20)^2</f>
        <v>0.70560000000000056</v>
      </c>
      <c r="L20" s="18">
        <f>('BFI Scores'!Q20-'BFI Scores'!B20)^2</f>
        <v>1.4520250000000001</v>
      </c>
      <c r="M20" s="18">
        <f>('BFI Scores'!R20-'BFI Scores'!C20)^2</f>
        <v>1.9753086419711894E-5</v>
      </c>
      <c r="N20" s="18">
        <f>('BFI Scores'!S20-'BFI Scores'!D20)^2</f>
        <v>0.61013456790123244</v>
      </c>
      <c r="O20" s="18">
        <f>('BFI Scores'!T20-'BFI Scores'!E20)^2</f>
        <v>0.11390624999999995</v>
      </c>
      <c r="P20" s="18">
        <f>('BFI Scores'!U20-'BFI Scores'!F20)^2</f>
        <v>0.59290000000000076</v>
      </c>
      <c r="Q20" s="18">
        <f>('BFI Scores'!V20-'BFI Scores'!B20)^2</f>
        <v>0.14439999999999992</v>
      </c>
      <c r="R20" s="18">
        <f>('BFI Scores'!W20-'BFI Scores'!C20)^2</f>
        <v>4.7427160493828446E-2</v>
      </c>
      <c r="S20" s="18">
        <f>('BFI Scores'!X20-'BFI Scores'!D20)^2</f>
        <v>0.3249000000000003</v>
      </c>
      <c r="T20" s="18">
        <f>('BFI Scores'!Y20-'BFI Scores'!E20)^2</f>
        <v>0.18062500000000004</v>
      </c>
      <c r="U20" s="18">
        <f>('BFI Scores'!Z20-'BFI Scores'!F20)^2</f>
        <v>0.43560000000000021</v>
      </c>
      <c r="V20" s="18">
        <f>('BFI Scores'!AA20-'BFI Scores'!B20)^2</f>
        <v>3.3062500000000123E-3</v>
      </c>
      <c r="W20" s="18">
        <f>('BFI Scores'!AB20-'BFI Scores'!C20)^2</f>
        <v>6.3056790123456427E-2</v>
      </c>
      <c r="X20" s="18">
        <f>('BFI Scores'!AC20-'BFI Scores'!D20)^2</f>
        <v>0.3249000000000003</v>
      </c>
      <c r="Y20" s="18">
        <f>('BFI Scores'!AD20-'BFI Scores'!E20)^2</f>
        <v>0.22562500000000008</v>
      </c>
      <c r="Z20" s="18">
        <f>('BFI Scores'!AE20-'BFI Scores'!F20)^2</f>
        <v>0.17640000000000031</v>
      </c>
      <c r="AA20" s="20">
        <f t="shared" si="0"/>
        <v>0.39228155864197606</v>
      </c>
      <c r="AB20" s="20">
        <f t="shared" si="1"/>
        <v>0.50684020061728408</v>
      </c>
      <c r="AC20" s="20">
        <f t="shared" si="2"/>
        <v>0.55379711419753053</v>
      </c>
      <c r="AD20" s="20">
        <f t="shared" si="3"/>
        <v>0.22659043209876578</v>
      </c>
      <c r="AE20" s="20">
        <f t="shared" si="4"/>
        <v>0.15865760802469145</v>
      </c>
    </row>
    <row r="21" spans="1:31" x14ac:dyDescent="0.2">
      <c r="A21" s="17">
        <v>18773</v>
      </c>
      <c r="B21" s="18">
        <f>('BFI Scores'!G21-'BFI Scores'!B21)^2</f>
        <v>1.0100249999999997</v>
      </c>
      <c r="C21" s="18">
        <f>('BFI Scores'!H21-'BFI Scores'!C21)^2</f>
        <v>1.0223456790123437</v>
      </c>
      <c r="D21" s="18">
        <f>('BFI Scores'!I21-'BFI Scores'!D21)^2</f>
        <v>1.047211111111104</v>
      </c>
      <c r="E21" s="18">
        <f>('BFI Scores'!J21-'BFI Scores'!E21)^2</f>
        <v>0.7014062499999999</v>
      </c>
      <c r="F21" s="18">
        <f>('BFI Scores'!K21-'BFI Scores'!F21)^2</f>
        <v>0.99999999999999911</v>
      </c>
      <c r="G21" s="18">
        <f>('BFI Scores'!L21-'BFI Scores'!B21)^2</f>
        <v>0.77439999999999987</v>
      </c>
      <c r="H21" s="18">
        <f>('BFI Scores'!M21-'BFI Scores'!C21)^2</f>
        <v>0.71308641975309639</v>
      </c>
      <c r="I21" s="18">
        <f>('BFI Scores'!N21-'BFI Scores'!D21)^2</f>
        <v>0.57254444444444874</v>
      </c>
      <c r="J21" s="18">
        <f>('BFI Scores'!O21-'BFI Scores'!E21)^2</f>
        <v>0.765625</v>
      </c>
      <c r="K21" s="18">
        <f>('BFI Scores'!P21-'BFI Scores'!F21)^2</f>
        <v>0.73959999999999904</v>
      </c>
      <c r="L21" s="18">
        <f>('BFI Scores'!Q21-'BFI Scores'!B21)^2</f>
        <v>1.5128999999999999</v>
      </c>
      <c r="M21" s="18">
        <f>('BFI Scores'!R21-'BFI Scores'!C21)^2</f>
        <v>0.28444444444445188</v>
      </c>
      <c r="N21" s="18">
        <f>('BFI Scores'!S21-'BFI Scores'!D21)^2</f>
        <v>1.0245938271604886</v>
      </c>
      <c r="O21" s="18">
        <f>('BFI Scores'!T21-'BFI Scores'!E21)^2</f>
        <v>1.8225000000000002</v>
      </c>
      <c r="P21" s="18">
        <f>('BFI Scores'!U21-'BFI Scores'!F21)^2</f>
        <v>0.46239999999999959</v>
      </c>
      <c r="Q21" s="18">
        <f>('BFI Scores'!V21-'BFI Scores'!B21)^2</f>
        <v>0.26780625000000008</v>
      </c>
      <c r="R21" s="18">
        <f>('BFI Scores'!W21-'BFI Scores'!C21)^2</f>
        <v>0.81000000000000061</v>
      </c>
      <c r="S21" s="18">
        <f>('BFI Scores'!X21-'BFI Scores'!D21)^2</f>
        <v>1.0022234567901203</v>
      </c>
      <c r="T21" s="18">
        <f>('BFI Scores'!Y21-'BFI Scores'!E21)^2</f>
        <v>0.765625</v>
      </c>
      <c r="U21" s="18">
        <f>('BFI Scores'!Z21-'BFI Scores'!F21)^2</f>
        <v>0.90249999999999952</v>
      </c>
      <c r="V21" s="18">
        <f>('BFI Scores'!AA21-'BFI Scores'!B21)^2</f>
        <v>0.36602499999999943</v>
      </c>
      <c r="W21" s="18">
        <f>('BFI Scores'!AB21-'BFI Scores'!C21)^2</f>
        <v>1.2100000000000002</v>
      </c>
      <c r="X21" s="18">
        <f>('BFI Scores'!AC21-'BFI Scores'!D21)^2</f>
        <v>2.9317049382715967</v>
      </c>
      <c r="Y21" s="18">
        <f>('BFI Scores'!AD21-'BFI Scores'!E21)^2</f>
        <v>3.0625</v>
      </c>
      <c r="Z21" s="18">
        <f>('BFI Scores'!AE21-'BFI Scores'!F21)^2</f>
        <v>0.63999999999999968</v>
      </c>
      <c r="AA21" s="20">
        <f t="shared" si="0"/>
        <v>0.95619760802468934</v>
      </c>
      <c r="AB21" s="20">
        <f t="shared" si="1"/>
        <v>0.71305117283950881</v>
      </c>
      <c r="AC21" s="20">
        <f t="shared" si="2"/>
        <v>1.021367654320988</v>
      </c>
      <c r="AD21" s="20">
        <f t="shared" si="3"/>
        <v>0.74963094135802411</v>
      </c>
      <c r="AE21" s="20">
        <f t="shared" si="4"/>
        <v>1.6420459876543192</v>
      </c>
    </row>
    <row r="22" spans="1:31" x14ac:dyDescent="0.2">
      <c r="A22" s="17">
        <v>20788</v>
      </c>
      <c r="B22" s="18">
        <f>('BFI Scores'!G22-'BFI Scores'!B22)^2</f>
        <v>0.75690000000000024</v>
      </c>
      <c r="C22" s="18">
        <f>('BFI Scores'!H22-'BFI Scores'!C22)^2</f>
        <v>1.259382716049318E-2</v>
      </c>
      <c r="D22" s="18">
        <f>('BFI Scores'!I22-'BFI Scores'!D22)^2</f>
        <v>1.7306864197530982</v>
      </c>
      <c r="E22" s="18">
        <f>('BFI Scores'!J22-'BFI Scores'!E22)^2</f>
        <v>3.5343999999999998</v>
      </c>
      <c r="F22" s="18">
        <f>('BFI Scores'!K22-'BFI Scores'!F22)^2</f>
        <v>1.1236000000000002</v>
      </c>
      <c r="G22" s="18">
        <f>('BFI Scores'!L22-'BFI Scores'!B22)^2</f>
        <v>0.75690000000000024</v>
      </c>
      <c r="H22" s="18">
        <f>('BFI Scores'!M22-'BFI Scores'!C22)^2</f>
        <v>1.8075308641974035E-2</v>
      </c>
      <c r="I22" s="18">
        <f>('BFI Scores'!N22-'BFI Scores'!D22)^2</f>
        <v>1.10016790123457</v>
      </c>
      <c r="J22" s="18">
        <f>('BFI Scores'!O22-'BFI Scores'!E22)^2</f>
        <v>3.4410249999999998</v>
      </c>
      <c r="K22" s="18">
        <f>('BFI Scores'!P22-'BFI Scores'!F22)^2</f>
        <v>1.4400000000000004</v>
      </c>
      <c r="L22" s="18">
        <f>('BFI Scores'!Q22-'BFI Scores'!B22)^2</f>
        <v>0.17639999999999995</v>
      </c>
      <c r="M22" s="18">
        <f>('BFI Scores'!R22-'BFI Scores'!C22)^2</f>
        <v>0.22933456790123566</v>
      </c>
      <c r="N22" s="18">
        <f>('BFI Scores'!S22-'BFI Scores'!D22)^2</f>
        <v>0.92160000000000075</v>
      </c>
      <c r="O22" s="18">
        <f>('BFI Scores'!T22-'BFI Scores'!E22)^2</f>
        <v>3.9700562499999998</v>
      </c>
      <c r="P22" s="18">
        <f>('BFI Scores'!U22-'BFI Scores'!F22)^2</f>
        <v>2.9240999999999997</v>
      </c>
      <c r="Q22" s="18">
        <f>('BFI Scores'!V22-'BFI Scores'!B22)^2</f>
        <v>2.6244000000000005</v>
      </c>
      <c r="R22" s="18">
        <f>('BFI Scores'!W22-'BFI Scores'!C22)^2</f>
        <v>1.8075308641974035E-2</v>
      </c>
      <c r="S22" s="18">
        <f>('BFI Scores'!X22-'BFI Scores'!D22)^2</f>
        <v>2.0353777777777871</v>
      </c>
      <c r="T22" s="18">
        <f>('BFI Scores'!Y22-'BFI Scores'!E22)^2</f>
        <v>3.6768062499999998</v>
      </c>
      <c r="U22" s="18">
        <f>('BFI Scores'!Z22-'BFI Scores'!F22)^2</f>
        <v>0.72250000000000014</v>
      </c>
      <c r="V22" s="18">
        <f>('BFI Scores'!AA22-'BFI Scores'!B22)^2</f>
        <v>1.5500250000000002</v>
      </c>
      <c r="W22" s="18">
        <f>('BFI Scores'!AB22-'BFI Scores'!C22)^2</f>
        <v>0.58948271604938562</v>
      </c>
      <c r="X22" s="18">
        <f>('BFI Scores'!AC22-'BFI Scores'!D22)^2</f>
        <v>0.9647604938271559</v>
      </c>
      <c r="Y22" s="18">
        <f>('BFI Scores'!AD22-'BFI Scores'!E22)^2</f>
        <v>6.5024999999999944E-2</v>
      </c>
      <c r="Z22" s="18">
        <f>('BFI Scores'!AE22-'BFI Scores'!F22)^2</f>
        <v>1.1236000000000002</v>
      </c>
      <c r="AA22" s="20">
        <f t="shared" si="0"/>
        <v>1.4316360493827183</v>
      </c>
      <c r="AB22" s="20">
        <f t="shared" si="1"/>
        <v>1.3512336419753088</v>
      </c>
      <c r="AC22" s="20">
        <f t="shared" si="2"/>
        <v>1.6442981635802472</v>
      </c>
      <c r="AD22" s="20">
        <f t="shared" si="3"/>
        <v>1.8154318672839522</v>
      </c>
      <c r="AE22" s="20">
        <f t="shared" si="4"/>
        <v>0.85857864197530842</v>
      </c>
    </row>
    <row r="23" spans="1:31" x14ac:dyDescent="0.2">
      <c r="A23" s="17">
        <v>20811</v>
      </c>
      <c r="B23" s="18">
        <f>('BFI Scores'!G23-'BFI Scores'!B23)^2</f>
        <v>0.58140625000000024</v>
      </c>
      <c r="C23" s="18">
        <f>('BFI Scores'!H23-'BFI Scores'!C23)^2</f>
        <v>0.43267160493827483</v>
      </c>
      <c r="D23" s="18">
        <f>('BFI Scores'!I23-'BFI Scores'!D23)^2</f>
        <v>3.8241975308642155</v>
      </c>
      <c r="E23" s="18">
        <f>('BFI Scores'!J23-'BFI Scores'!E23)^2</f>
        <v>0.765625</v>
      </c>
      <c r="F23" s="18">
        <f>('BFI Scores'!K23-'BFI Scores'!F23)^2</f>
        <v>4.9729000000000001</v>
      </c>
      <c r="G23" s="18">
        <f>('BFI Scores'!L23-'BFI Scores'!B23)^2</f>
        <v>0.66015625</v>
      </c>
      <c r="H23" s="18">
        <f>('BFI Scores'!M23-'BFI Scores'!C23)^2</f>
        <v>1.0268444444444378</v>
      </c>
      <c r="I23" s="18">
        <f>('BFI Scores'!N23-'BFI Scores'!D23)^2</f>
        <v>3.9116049382716138</v>
      </c>
      <c r="J23" s="18">
        <f>('BFI Scores'!O23-'BFI Scores'!E23)^2</f>
        <v>0.765625</v>
      </c>
      <c r="K23" s="18">
        <f>('BFI Scores'!P23-'BFI Scores'!F23)^2</f>
        <v>5.76</v>
      </c>
      <c r="L23" s="18">
        <f>('BFI Scores'!Q23-'BFI Scores'!B23)^2</f>
        <v>0.30249999999999982</v>
      </c>
      <c r="M23" s="18">
        <f>('BFI Scores'!R23-'BFI Scores'!C23)^2</f>
        <v>0.28681975308642477</v>
      </c>
      <c r="N23" s="18">
        <f>('BFI Scores'!S23-'BFI Scores'!D23)^2</f>
        <v>5.9753086419753361</v>
      </c>
      <c r="O23" s="18">
        <f>('BFI Scores'!T23-'BFI Scores'!E23)^2</f>
        <v>0.87890625</v>
      </c>
      <c r="P23" s="18">
        <f>('BFI Scores'!U23-'BFI Scores'!F23)^2</f>
        <v>6.6563999999999979</v>
      </c>
      <c r="Q23" s="18">
        <f>('BFI Scores'!V23-'BFI Scores'!B23)^2</f>
        <v>0.30249999999999982</v>
      </c>
      <c r="R23" s="18">
        <f>('BFI Scores'!W23-'BFI Scores'!C23)^2</f>
        <v>1.1664000000000001</v>
      </c>
      <c r="S23" s="18">
        <f>('BFI Scores'!X23-'BFI Scores'!D23)^2</f>
        <v>5.4964197530864451</v>
      </c>
      <c r="T23" s="18">
        <f>('BFI Scores'!Y23-'BFI Scores'!E23)^2</f>
        <v>0.765625</v>
      </c>
      <c r="U23" s="18">
        <f>('BFI Scores'!Z23-'BFI Scores'!F23)^2</f>
        <v>5.9048999999999987</v>
      </c>
      <c r="V23" s="18">
        <f>('BFI Scores'!AA23-'BFI Scores'!B23)^2</f>
        <v>0.28890624999999964</v>
      </c>
      <c r="W23" s="18">
        <f>('BFI Scores'!AB23-'BFI Scores'!C23)^2</f>
        <v>0.54104197530864906</v>
      </c>
      <c r="X23" s="18">
        <f>('BFI Scores'!AC23-'BFI Scores'!D23)^2</f>
        <v>0.79012345679012574</v>
      </c>
      <c r="Y23" s="18">
        <f>('BFI Scores'!AD23-'BFI Scores'!E23)^2</f>
        <v>0.85562500000000008</v>
      </c>
      <c r="Z23" s="18">
        <f>('BFI Scores'!AE23-'BFI Scores'!F23)^2</f>
        <v>2.9929000000000001</v>
      </c>
      <c r="AA23" s="20">
        <f t="shared" si="0"/>
        <v>2.1153600771604983</v>
      </c>
      <c r="AB23" s="20">
        <f t="shared" si="1"/>
        <v>2.4248461265432102</v>
      </c>
      <c r="AC23" s="20">
        <f t="shared" si="2"/>
        <v>2.8199869290123516</v>
      </c>
      <c r="AD23" s="20">
        <f t="shared" si="3"/>
        <v>2.7271689506172887</v>
      </c>
      <c r="AE23" s="20">
        <f t="shared" si="4"/>
        <v>1.0937193364197551</v>
      </c>
    </row>
    <row r="24" spans="1:31" x14ac:dyDescent="0.2">
      <c r="A24" s="17">
        <v>21151</v>
      </c>
      <c r="B24" s="18">
        <f>('BFI Scores'!G24-'BFI Scores'!B24)^2</f>
        <v>2.2499999999999975E-2</v>
      </c>
      <c r="C24" s="18">
        <f>('BFI Scores'!H24-'BFI Scores'!C24)^2</f>
        <v>2.0576308641975474</v>
      </c>
      <c r="D24" s="18">
        <f>('BFI Scores'!I24-'BFI Scores'!D24)^2</f>
        <v>1.2345679012345394E-2</v>
      </c>
      <c r="E24" s="18">
        <f>('BFI Scores'!J24-'BFI Scores'!E24)^2</f>
        <v>0.11730624999999986</v>
      </c>
      <c r="F24" s="18">
        <f>('BFI Scores'!K24-'BFI Scores'!F24)^2</f>
        <v>0.90249999999999952</v>
      </c>
      <c r="G24" s="18">
        <f>('BFI Scores'!L24-'BFI Scores'!B24)^2</f>
        <v>0.390625</v>
      </c>
      <c r="H24" s="18">
        <f>('BFI Scores'!M24-'BFI Scores'!C24)^2</f>
        <v>1.9631123456790101</v>
      </c>
      <c r="I24" s="18">
        <f>('BFI Scores'!N24-'BFI Scores'!D24)^2</f>
        <v>3.0864197530868914E-3</v>
      </c>
      <c r="J24" s="18">
        <f>('BFI Scores'!O24-'BFI Scores'!E24)^2</f>
        <v>0.14439999999999992</v>
      </c>
      <c r="K24" s="18">
        <f>('BFI Scores'!P24-'BFI Scores'!F24)^2</f>
        <v>0.94089999999999951</v>
      </c>
      <c r="L24" s="18">
        <f>('BFI Scores'!Q24-'BFI Scores'!B24)^2</f>
        <v>0.390625</v>
      </c>
      <c r="M24" s="18">
        <f>('BFI Scores'!R24-'BFI Scores'!C24)^2</f>
        <v>0.43121111111111587</v>
      </c>
      <c r="N24" s="18">
        <f>('BFI Scores'!S24-'BFI Scores'!D24)^2</f>
        <v>0.55419753086420553</v>
      </c>
      <c r="O24" s="18">
        <f>('BFI Scores'!T24-'BFI Scores'!E24)^2</f>
        <v>2.8056249999999994E-2</v>
      </c>
      <c r="P24" s="18">
        <f>('BFI Scores'!U24-'BFI Scores'!F24)^2</f>
        <v>1.5624999999999989</v>
      </c>
      <c r="Q24" s="18">
        <f>('BFI Scores'!V24-'BFI Scores'!B24)^2</f>
        <v>0.25</v>
      </c>
      <c r="R24" s="18">
        <f>('BFI Scores'!W24-'BFI Scores'!C24)^2</f>
        <v>1.9013345679012374</v>
      </c>
      <c r="S24" s="18">
        <f>('BFI Scores'!X24-'BFI Scores'!D24)^2</f>
        <v>0.2727160493827141</v>
      </c>
      <c r="T24" s="18">
        <f>('BFI Scores'!Y24-'BFI Scores'!E24)^2</f>
        <v>0.23280625000000016</v>
      </c>
      <c r="U24" s="18">
        <f>('BFI Scores'!Z24-'BFI Scores'!F24)^2</f>
        <v>0.65609999999999935</v>
      </c>
      <c r="V24" s="18">
        <f>('BFI Scores'!AA24-'BFI Scores'!B24)^2</f>
        <v>1.1024999999999996</v>
      </c>
      <c r="W24" s="18">
        <f>('BFI Scores'!AB24-'BFI Scores'!C24)^2</f>
        <v>1.9321000000000004</v>
      </c>
      <c r="X24" s="18">
        <f>('BFI Scores'!AC24-'BFI Scores'!D24)^2</f>
        <v>0.79012345679012574</v>
      </c>
      <c r="Y24" s="18">
        <f>('BFI Scores'!AD24-'BFI Scores'!E24)^2</f>
        <v>0.25755625000000004</v>
      </c>
      <c r="Z24" s="18">
        <f>('BFI Scores'!AE24-'BFI Scores'!F24)^2</f>
        <v>0.6888999999999994</v>
      </c>
      <c r="AA24" s="20">
        <f t="shared" si="0"/>
        <v>0.62245655864197835</v>
      </c>
      <c r="AB24" s="20">
        <f t="shared" si="1"/>
        <v>0.68842475308641937</v>
      </c>
      <c r="AC24" s="20">
        <f t="shared" si="2"/>
        <v>0.59331797839506406</v>
      </c>
      <c r="AD24" s="20">
        <f t="shared" si="3"/>
        <v>0.6625913734567902</v>
      </c>
      <c r="AE24" s="20">
        <f t="shared" si="4"/>
        <v>0.95423594135802503</v>
      </c>
    </row>
    <row r="25" spans="1:31" x14ac:dyDescent="0.2">
      <c r="A25" s="17">
        <v>22533</v>
      </c>
      <c r="B25" s="18">
        <f>('BFI Scores'!G25-'BFI Scores'!B25)^2</f>
        <v>4.9173062499999993</v>
      </c>
      <c r="C25" s="18">
        <f>('BFI Scores'!H25-'BFI Scores'!C25)^2</f>
        <v>7.3501234567900614E-2</v>
      </c>
      <c r="D25" s="18">
        <f>('BFI Scores'!I25-'BFI Scores'!D25)^2</f>
        <v>4.5368999999999993</v>
      </c>
      <c r="E25" s="18">
        <f>('BFI Scores'!J25-'BFI Scores'!E25)^2</f>
        <v>3.3764062499999996</v>
      </c>
      <c r="F25" s="18">
        <f>('BFI Scores'!K25-'BFI Scores'!F25)^2</f>
        <v>6.0516000000000023</v>
      </c>
      <c r="G25" s="18">
        <f>('BFI Scores'!L25-'BFI Scores'!B25)^2</f>
        <v>5.1983999999999995</v>
      </c>
      <c r="H25" s="18">
        <f>('BFI Scores'!M25-'BFI Scores'!C25)^2</f>
        <v>0.90039012345679181</v>
      </c>
      <c r="I25" s="18">
        <f>('BFI Scores'!N25-'BFI Scores'!D25)^2</f>
        <v>5.1226777777777635</v>
      </c>
      <c r="J25" s="18">
        <f>('BFI Scores'!O25-'BFI Scores'!E25)^2</f>
        <v>3.0625</v>
      </c>
      <c r="K25" s="18">
        <f>('BFI Scores'!P25-'BFI Scores'!F25)^2</f>
        <v>7.1824000000000012</v>
      </c>
      <c r="L25" s="18">
        <f>('BFI Scores'!Q25-'BFI Scores'!B25)^2</f>
        <v>6.2750249999999994</v>
      </c>
      <c r="M25" s="18">
        <f>('BFI Scores'!R25-'BFI Scores'!C25)^2</f>
        <v>1.0313530864197615</v>
      </c>
      <c r="N25" s="18">
        <f>('BFI Scores'!S25-'BFI Scores'!D25)^2</f>
        <v>5.5329493827160388</v>
      </c>
      <c r="O25" s="18">
        <f>('BFI Scores'!T25-'BFI Scores'!E25)^2</f>
        <v>4.4626562499999993</v>
      </c>
      <c r="P25" s="18">
        <f>('BFI Scores'!U25-'BFI Scores'!F25)^2</f>
        <v>9.1204000000000036</v>
      </c>
      <c r="Q25" s="18">
        <f>('BFI Scores'!V25-'BFI Scores'!B25)^2</f>
        <v>2.4570562499999995</v>
      </c>
      <c r="R25" s="18">
        <f>('BFI Scores'!W25-'BFI Scores'!C25)^2</f>
        <v>0.10671111111111314</v>
      </c>
      <c r="S25" s="18">
        <f>('BFI Scores'!X25-'BFI Scores'!D25)^2</f>
        <v>0.78420864197531626</v>
      </c>
      <c r="T25" s="18">
        <f>('BFI Scores'!Y25-'BFI Scores'!E25)^2</f>
        <v>2.9756250000000004</v>
      </c>
      <c r="U25" s="18">
        <f>('BFI Scores'!Z25-'BFI Scores'!F25)^2</f>
        <v>5.5225000000000026</v>
      </c>
      <c r="V25" s="18">
        <f>('BFI Scores'!AA25-'BFI Scores'!B25)^2</f>
        <v>0.66830624999999988</v>
      </c>
      <c r="W25" s="18">
        <f>('BFI Scores'!AB25-'BFI Scores'!C25)^2</f>
        <v>0.31359999999999955</v>
      </c>
      <c r="X25" s="18">
        <f>('BFI Scores'!AC25-'BFI Scores'!D25)^2</f>
        <v>1.4856901234567934</v>
      </c>
      <c r="Y25" s="18">
        <f>('BFI Scores'!AD25-'BFI Scores'!E25)^2</f>
        <v>2.6814062500000007</v>
      </c>
      <c r="Z25" s="18">
        <f>('BFI Scores'!AE25-'BFI Scores'!F25)^2</f>
        <v>1.3225000000000009</v>
      </c>
      <c r="AA25" s="20">
        <f t="shared" si="0"/>
        <v>3.7911427469135801</v>
      </c>
      <c r="AB25" s="20">
        <f t="shared" si="1"/>
        <v>4.2932735802469111</v>
      </c>
      <c r="AC25" s="20">
        <f t="shared" si="2"/>
        <v>5.2844767438271605</v>
      </c>
      <c r="AD25" s="20">
        <f t="shared" si="3"/>
        <v>2.3692202006172862</v>
      </c>
      <c r="AE25" s="20">
        <f t="shared" si="4"/>
        <v>1.2943005246913588</v>
      </c>
    </row>
    <row r="26" spans="1:31" x14ac:dyDescent="0.2">
      <c r="A26" s="17">
        <v>22996</v>
      </c>
      <c r="B26" s="18">
        <f>('BFI Scores'!G26-'BFI Scores'!B26)^2</f>
        <v>0.47265625</v>
      </c>
      <c r="C26" s="18">
        <f>('BFI Scores'!H26-'BFI Scores'!C26)^2</f>
        <v>4.3171604938272552E-2</v>
      </c>
      <c r="D26" s="18">
        <f>('BFI Scores'!I26-'BFI Scores'!D26)^2</f>
        <v>4.4444444444487943E-5</v>
      </c>
      <c r="E26" s="18">
        <f>('BFI Scores'!J26-'BFI Scores'!E26)^2</f>
        <v>0.2756249999999999</v>
      </c>
      <c r="F26" s="18">
        <f>('BFI Scores'!K26-'BFI Scores'!F26)^2</f>
        <v>0.16809999999999975</v>
      </c>
      <c r="G26" s="18">
        <f>('BFI Scores'!L26-'BFI Scores'!B26)^2</f>
        <v>0.52562499999999945</v>
      </c>
      <c r="H26" s="18">
        <f>('BFI Scores'!M26-'BFI Scores'!C26)^2</f>
        <v>2.3171604938271008E-2</v>
      </c>
      <c r="I26" s="18">
        <f>('BFI Scores'!N26-'BFI Scores'!D26)^2</f>
        <v>8.3456790123462353E-4</v>
      </c>
      <c r="J26" s="18">
        <f>('BFI Scores'!O26-'BFI Scores'!E26)^2</f>
        <v>0.25</v>
      </c>
      <c r="K26" s="18">
        <f>('BFI Scores'!P26-'BFI Scores'!F26)^2</f>
        <v>0.13690000000000008</v>
      </c>
      <c r="L26" s="18">
        <f>('BFI Scores'!Q26-'BFI Scores'!B26)^2</f>
        <v>5.6406249999999915E-2</v>
      </c>
      <c r="M26" s="18">
        <f>('BFI Scores'!R26-'BFI Scores'!C26)^2</f>
        <v>1.9912345679012053E-2</v>
      </c>
      <c r="N26" s="18">
        <f>('BFI Scores'!S26-'BFI Scores'!D26)^2</f>
        <v>4.7427160493828065E-2</v>
      </c>
      <c r="O26" s="18">
        <f>('BFI Scores'!T26-'BFI Scores'!E26)^2</f>
        <v>0.64000000000000012</v>
      </c>
      <c r="P26" s="18">
        <f>('BFI Scores'!U26-'BFI Scores'!F26)^2</f>
        <v>0.10240000000000019</v>
      </c>
      <c r="Q26" s="18">
        <f>('BFI Scores'!V26-'BFI Scores'!B26)^2</f>
        <v>0.60062500000000052</v>
      </c>
      <c r="R26" s="18">
        <f>('BFI Scores'!W26-'BFI Scores'!C26)^2</f>
        <v>4.3171604938272552E-2</v>
      </c>
      <c r="S26" s="18">
        <f>('BFI Scores'!X26-'BFI Scores'!D26)^2</f>
        <v>3.0044444444446757E-2</v>
      </c>
      <c r="T26" s="18">
        <f>('BFI Scores'!Y26-'BFI Scores'!E26)^2</f>
        <v>0.20249999999999996</v>
      </c>
      <c r="U26" s="18">
        <f>('BFI Scores'!Z26-'BFI Scores'!F26)^2</f>
        <v>0.28089999999999982</v>
      </c>
      <c r="V26" s="18">
        <f>('BFI Scores'!AA26-'BFI Scores'!B26)^2</f>
        <v>0.5625</v>
      </c>
      <c r="W26" s="18">
        <f>('BFI Scores'!AB26-'BFI Scores'!C26)^2</f>
        <v>0.25334444444444137</v>
      </c>
      <c r="X26" s="18">
        <f>('BFI Scores'!AC26-'BFI Scores'!D26)^2</f>
        <v>2.2834567901234192E-2</v>
      </c>
      <c r="Y26" s="18">
        <f>('BFI Scores'!AD26-'BFI Scores'!E26)^2</f>
        <v>0.22562500000000008</v>
      </c>
      <c r="Z26" s="18">
        <f>('BFI Scores'!AE26-'BFI Scores'!F26)^2</f>
        <v>0.23039999999999999</v>
      </c>
      <c r="AA26" s="20">
        <f t="shared" si="0"/>
        <v>0.19191945987654332</v>
      </c>
      <c r="AB26" s="20">
        <f t="shared" si="1"/>
        <v>0.18730623456790102</v>
      </c>
      <c r="AC26" s="20">
        <f t="shared" si="2"/>
        <v>0.17322915123456806</v>
      </c>
      <c r="AD26" s="20">
        <f t="shared" si="3"/>
        <v>0.23144820987654394</v>
      </c>
      <c r="AE26" s="20">
        <f t="shared" si="4"/>
        <v>0.25894080246913509</v>
      </c>
    </row>
    <row r="27" spans="1:31" x14ac:dyDescent="0.2">
      <c r="A27" s="17">
        <v>23104</v>
      </c>
      <c r="B27" s="18">
        <f>('BFI Scores'!G27-'BFI Scores'!B27)^2</f>
        <v>1.5625000000000445E-4</v>
      </c>
      <c r="C27" s="18">
        <f>('BFI Scores'!H27-'BFI Scores'!C27)^2</f>
        <v>3.4844444444445725E-2</v>
      </c>
      <c r="D27" s="18">
        <f>('BFI Scores'!I27-'BFI Scores'!D27)^2</f>
        <v>0.15471111111110847</v>
      </c>
      <c r="E27" s="18">
        <f>('BFI Scores'!J27-'BFI Scores'!E27)^2</f>
        <v>2.06640625</v>
      </c>
      <c r="F27" s="18">
        <f>('BFI Scores'!K27-'BFI Scores'!F27)^2</f>
        <v>1.9599999999999997</v>
      </c>
      <c r="G27" s="18">
        <f>('BFI Scores'!L27-'BFI Scores'!B27)^2</f>
        <v>3.0624999999999937E-2</v>
      </c>
      <c r="H27" s="18">
        <f>('BFI Scores'!M27-'BFI Scores'!C27)^2</f>
        <v>0.31859753086419235</v>
      </c>
      <c r="I27" s="18">
        <f>('BFI Scores'!N27-'BFI Scores'!D27)^2</f>
        <v>0.25446419753086985</v>
      </c>
      <c r="J27" s="18">
        <f>('BFI Scores'!O27-'BFI Scores'!E27)^2</f>
        <v>1.72265625</v>
      </c>
      <c r="K27" s="18">
        <f>('BFI Scores'!P27-'BFI Scores'!F27)^2</f>
        <v>1.6641000000000001</v>
      </c>
      <c r="L27" s="18">
        <f>('BFI Scores'!Q27-'BFI Scores'!B27)^2</f>
        <v>2.640625000000003E-2</v>
      </c>
      <c r="M27" s="18">
        <f>('BFI Scores'!R27-'BFI Scores'!C27)^2</f>
        <v>0.20551111111110812</v>
      </c>
      <c r="N27" s="18">
        <f>('BFI Scores'!S27-'BFI Scores'!D27)^2</f>
        <v>0.31360000000000005</v>
      </c>
      <c r="O27" s="18">
        <f>('BFI Scores'!T27-'BFI Scores'!E27)^2</f>
        <v>0.87890625</v>
      </c>
      <c r="P27" s="18">
        <f>('BFI Scores'!U27-'BFI Scores'!F27)^2</f>
        <v>3.4225000000000003</v>
      </c>
      <c r="Q27" s="18">
        <f>('BFI Scores'!V27-'BFI Scores'!B27)^2</f>
        <v>0.40640625000000025</v>
      </c>
      <c r="R27" s="18">
        <f>('BFI Scores'!W27-'BFI Scores'!C27)^2</f>
        <v>0.10963456790123385</v>
      </c>
      <c r="S27" s="18">
        <f>('BFI Scores'!X27-'BFI Scores'!D27)^2</f>
        <v>0.25446419753086985</v>
      </c>
      <c r="T27" s="18">
        <f>('BFI Scores'!Y27-'BFI Scores'!E27)^2</f>
        <v>1.7889062499999997</v>
      </c>
      <c r="U27" s="18">
        <f>('BFI Scores'!Z27-'BFI Scores'!F27)^2</f>
        <v>1.2320999999999998</v>
      </c>
      <c r="V27" s="18">
        <f>('BFI Scores'!AA27-'BFI Scores'!B27)^2</f>
        <v>1.5006249999999992</v>
      </c>
      <c r="W27" s="18">
        <f>('BFI Scores'!AB27-'BFI Scores'!C27)^2</f>
        <v>1.7827160493825609E-3</v>
      </c>
      <c r="X27" s="18">
        <f>('BFI Scores'!AC27-'BFI Scores'!D27)^2</f>
        <v>0.9003901234567927</v>
      </c>
      <c r="Y27" s="18">
        <f>('BFI Scores'!AD27-'BFI Scores'!E27)^2</f>
        <v>0.765625</v>
      </c>
      <c r="Z27" s="18">
        <f>('BFI Scores'!AE27-'BFI Scores'!F27)^2</f>
        <v>0.68890000000000007</v>
      </c>
      <c r="AA27" s="20">
        <f t="shared" si="0"/>
        <v>0.84322361111111077</v>
      </c>
      <c r="AB27" s="20">
        <f t="shared" si="1"/>
        <v>0.79808859567901247</v>
      </c>
      <c r="AC27" s="20">
        <f t="shared" si="2"/>
        <v>0.96938472222222172</v>
      </c>
      <c r="AD27" s="20">
        <f t="shared" si="3"/>
        <v>0.75830225308642074</v>
      </c>
      <c r="AE27" s="20">
        <f t="shared" si="4"/>
        <v>0.77146456790123497</v>
      </c>
    </row>
    <row r="28" spans="1:31" x14ac:dyDescent="0.2">
      <c r="A28" s="17">
        <v>23733</v>
      </c>
      <c r="B28" s="18">
        <f>('BFI Scores'!G28-'BFI Scores'!B28)^2</f>
        <v>0.3600000000000001</v>
      </c>
      <c r="C28" s="18">
        <f>('BFI Scores'!H28-'BFI Scores'!C28)^2</f>
        <v>3.3382716049385969E-3</v>
      </c>
      <c r="D28" s="18">
        <f>('BFI Scores'!I28-'BFI Scores'!D28)^2</f>
        <v>0.93444444444445152</v>
      </c>
      <c r="E28" s="18">
        <f>('BFI Scores'!J28-'BFI Scores'!E28)^2</f>
        <v>0.12250000000000007</v>
      </c>
      <c r="F28" s="18">
        <f>('BFI Scores'!K28-'BFI Scores'!F28)^2</f>
        <v>5.7600000000000103E-2</v>
      </c>
      <c r="G28" s="18">
        <f>('BFI Scores'!L28-'BFI Scores'!B28)^2</f>
        <v>0.72250000000000014</v>
      </c>
      <c r="H28" s="18">
        <f>('BFI Scores'!M28-'BFI Scores'!C28)^2</f>
        <v>4.1530864197538127E-3</v>
      </c>
      <c r="I28" s="18">
        <f>('BFI Scores'!N28-'BFI Scores'!D28)^2</f>
        <v>1</v>
      </c>
      <c r="J28" s="18">
        <f>('BFI Scores'!O28-'BFI Scores'!E28)^2</f>
        <v>0.26265624999999998</v>
      </c>
      <c r="K28" s="18">
        <f>('BFI Scores'!P28-'BFI Scores'!F28)^2</f>
        <v>0</v>
      </c>
      <c r="L28" s="18">
        <f>('BFI Scores'!Q28-'BFI Scores'!B28)^2</f>
        <v>1.1556250000000003</v>
      </c>
      <c r="M28" s="18">
        <f>('BFI Scores'!R28-'BFI Scores'!C28)^2</f>
        <v>0.19951111111111397</v>
      </c>
      <c r="N28" s="18">
        <f>('BFI Scores'!S28-'BFI Scores'!D28)^2</f>
        <v>1.0908641975308546</v>
      </c>
      <c r="O28" s="18">
        <f>('BFI Scores'!T28-'BFI Scores'!E28)^2</f>
        <v>0.7014062499999999</v>
      </c>
      <c r="P28" s="18">
        <f>('BFI Scores'!U28-'BFI Scores'!F28)^2</f>
        <v>1.2099999999999972E-2</v>
      </c>
      <c r="Q28" s="18">
        <f>('BFI Scores'!V28-'BFI Scores'!B28)^2</f>
        <v>0.52562499999999945</v>
      </c>
      <c r="R28" s="18">
        <f>('BFI Scores'!W28-'BFI Scores'!C28)^2</f>
        <v>5.7086419753092192E-3</v>
      </c>
      <c r="S28" s="18">
        <f>('BFI Scores'!X28-'BFI Scores'!D28)^2</f>
        <v>0.81000000000000061</v>
      </c>
      <c r="T28" s="18">
        <f>('BFI Scores'!Y28-'BFI Scores'!E28)^2</f>
        <v>3.515625E-2</v>
      </c>
      <c r="U28" s="18">
        <f>('BFI Scores'!Z28-'BFI Scores'!F28)^2</f>
        <v>8.99999999999999E-2</v>
      </c>
      <c r="V28" s="18">
        <f>('BFI Scores'!AA28-'BFI Scores'!B28)^2</f>
        <v>0.13140624999999986</v>
      </c>
      <c r="W28" s="18">
        <f>('BFI Scores'!AB28-'BFI Scores'!C28)^2</f>
        <v>0.18970864197531301</v>
      </c>
      <c r="X28" s="18">
        <f>('BFI Scores'!AC28-'BFI Scores'!D28)^2</f>
        <v>3.9116049382716138</v>
      </c>
      <c r="Y28" s="18">
        <f>('BFI Scores'!AD28-'BFI Scores'!E28)^2</f>
        <v>0.7014062499999999</v>
      </c>
      <c r="Z28" s="18">
        <f>('BFI Scores'!AE28-'BFI Scores'!F28)^2</f>
        <v>4.8399999999999888E-2</v>
      </c>
      <c r="AA28" s="20">
        <f t="shared" si="0"/>
        <v>0.29557654320987808</v>
      </c>
      <c r="AB28" s="20">
        <f t="shared" si="1"/>
        <v>0.39786186728395079</v>
      </c>
      <c r="AC28" s="20">
        <f t="shared" si="2"/>
        <v>0.6319013117283937</v>
      </c>
      <c r="AD28" s="20">
        <f t="shared" si="3"/>
        <v>0.29329797839506183</v>
      </c>
      <c r="AE28" s="20">
        <f t="shared" si="4"/>
        <v>0.99650521604938525</v>
      </c>
    </row>
    <row r="29" spans="1:31" x14ac:dyDescent="0.2">
      <c r="A29" s="17">
        <v>24032</v>
      </c>
      <c r="B29" s="18">
        <f>('BFI Scores'!G29-'BFI Scores'!B29)^2</f>
        <v>1.0251562500000004</v>
      </c>
      <c r="C29" s="18">
        <f>('BFI Scores'!H29-'BFI Scores'!C29)^2</f>
        <v>1.491112345679009</v>
      </c>
      <c r="D29" s="18">
        <f>('BFI Scores'!I29-'BFI Scores'!D29)^2</f>
        <v>4.102875308641952</v>
      </c>
      <c r="E29" s="18">
        <f>('BFI Scores'!J29-'BFI Scores'!E29)^2</f>
        <v>5.9658062499999991</v>
      </c>
      <c r="F29" s="18">
        <f>('BFI Scores'!K29-'BFI Scores'!F29)^2</f>
        <v>2.5599999999999904E-2</v>
      </c>
      <c r="G29" s="18">
        <f>('BFI Scores'!L29-'BFI Scores'!B29)^2</f>
        <v>1.265625</v>
      </c>
      <c r="H29" s="18">
        <f>('BFI Scores'!M29-'BFI Scores'!C29)^2</f>
        <v>2.8485938271605016</v>
      </c>
      <c r="I29" s="18">
        <f>('BFI Scores'!N29-'BFI Scores'!D29)^2</f>
        <v>3.1328999999999985</v>
      </c>
      <c r="J29" s="18">
        <f>('BFI Scores'!O29-'BFI Scores'!E29)^2</f>
        <v>5.6050562499999987</v>
      </c>
      <c r="K29" s="18">
        <f>('BFI Scores'!P29-'BFI Scores'!F29)^2</f>
        <v>1.6000000000000029E-3</v>
      </c>
      <c r="L29" s="18">
        <f>('BFI Scores'!Q29-'BFI Scores'!B29)^2</f>
        <v>1.265625</v>
      </c>
      <c r="M29" s="18">
        <f>('BFI Scores'!R29-'BFI Scores'!C29)^2</f>
        <v>2.7371864197531033</v>
      </c>
      <c r="N29" s="18">
        <f>('BFI Scores'!S29-'BFI Scores'!D29)^2</f>
        <v>3.1723567901234522</v>
      </c>
      <c r="O29" s="18">
        <f>('BFI Scores'!T29-'BFI Scores'!E29)^2</f>
        <v>7.0490249999999985</v>
      </c>
      <c r="P29" s="18">
        <f>('BFI Scores'!U29-'BFI Scores'!F29)^2</f>
        <v>2.2500000000000107E-2</v>
      </c>
      <c r="Q29" s="18">
        <f>('BFI Scores'!V29-'BFI Scores'!B29)^2</f>
        <v>1.1826562499999997</v>
      </c>
      <c r="R29" s="18">
        <f>('BFI Scores'!W29-'BFI Scores'!C29)^2</f>
        <v>1.6871123456790149</v>
      </c>
      <c r="S29" s="18">
        <f>('BFI Scores'!X29-'BFI Scores'!D29)^2</f>
        <v>3.580504938271595</v>
      </c>
      <c r="T29" s="18">
        <f>('BFI Scores'!Y29-'BFI Scores'!E29)^2</f>
        <v>6.088556249999999</v>
      </c>
      <c r="U29" s="18">
        <f>('BFI Scores'!Z29-'BFI Scores'!F29)^2</f>
        <v>0.10889999999999975</v>
      </c>
      <c r="V29" s="18">
        <f>('BFI Scores'!AA29-'BFI Scores'!B29)^2</f>
        <v>2.4024999999999994</v>
      </c>
      <c r="W29" s="18">
        <f>('BFI Scores'!AB29-'BFI Scores'!C29)^2</f>
        <v>1.5183716049382658</v>
      </c>
      <c r="X29" s="18">
        <f>('BFI Scores'!AC29-'BFI Scores'!D29)^2</f>
        <v>0.12094938271605074</v>
      </c>
      <c r="Y29" s="18">
        <f>('BFI Scores'!AD29-'BFI Scores'!E29)^2</f>
        <v>2.1170250000000004</v>
      </c>
      <c r="Z29" s="18">
        <f>('BFI Scores'!AE29-'BFI Scores'!F29)^2</f>
        <v>0.34810000000000035</v>
      </c>
      <c r="AA29" s="20">
        <f t="shared" si="0"/>
        <v>2.5221100308641922</v>
      </c>
      <c r="AB29" s="20">
        <f t="shared" si="1"/>
        <v>2.5707550154320997</v>
      </c>
      <c r="AC29" s="20">
        <f t="shared" si="2"/>
        <v>2.8493386419753106</v>
      </c>
      <c r="AD29" s="20">
        <f t="shared" si="3"/>
        <v>2.5295459567901215</v>
      </c>
      <c r="AE29" s="20">
        <f t="shared" si="4"/>
        <v>1.3013891975308636</v>
      </c>
    </row>
    <row r="30" spans="1:31" x14ac:dyDescent="0.2">
      <c r="A30" s="17">
        <v>24046</v>
      </c>
      <c r="B30" s="18">
        <f>('BFI Scores'!G30-'BFI Scores'!B30)^2</f>
        <v>0.40005625000000034</v>
      </c>
      <c r="C30" s="18">
        <f>('BFI Scores'!H30-'BFI Scores'!C30)^2</f>
        <v>2.0864197530851477E-4</v>
      </c>
      <c r="D30" s="18">
        <f>('BFI Scores'!I30-'BFI Scores'!D30)^2</f>
        <v>2.6823160493827234</v>
      </c>
      <c r="E30" s="18">
        <f>('BFI Scores'!J30-'BFI Scores'!E30)^2</f>
        <v>1.2376562499999997</v>
      </c>
      <c r="F30" s="18">
        <f>('BFI Scores'!K30-'BFI Scores'!F30)^2</f>
        <v>1.416100000000001</v>
      </c>
      <c r="G30" s="18">
        <f>('BFI Scores'!L30-'BFI Scores'!B30)^2</f>
        <v>0.46580625000000014</v>
      </c>
      <c r="H30" s="18">
        <f>('BFI Scores'!M30-'BFI Scores'!C30)^2</f>
        <v>2.7271604938269465E-3</v>
      </c>
      <c r="I30" s="18">
        <f>('BFI Scores'!N30-'BFI Scores'!D30)^2</f>
        <v>2.7926123456790091</v>
      </c>
      <c r="J30" s="18">
        <f>('BFI Scores'!O30-'BFI Scores'!E30)^2</f>
        <v>1.6256249999999999</v>
      </c>
      <c r="K30" s="18">
        <f>('BFI Scores'!P30-'BFI Scores'!F30)^2</f>
        <v>2.5281000000000011</v>
      </c>
      <c r="L30" s="18">
        <f>('BFI Scores'!Q30-'BFI Scores'!B30)^2</f>
        <v>2.1025000000000005E-2</v>
      </c>
      <c r="M30" s="18">
        <f>('BFI Scores'!R30-'BFI Scores'!C30)^2</f>
        <v>0.12094938271605074</v>
      </c>
      <c r="N30" s="18">
        <f>('BFI Scores'!S30-'BFI Scores'!D30)^2</f>
        <v>3.0198716049382797</v>
      </c>
      <c r="O30" s="18">
        <f>('BFI Scores'!T30-'BFI Scores'!E30)^2</f>
        <v>1.1556250000000003</v>
      </c>
      <c r="P30" s="18">
        <f>('BFI Scores'!U30-'BFI Scores'!F30)^2</f>
        <v>3.9601000000000011</v>
      </c>
      <c r="Q30" s="18">
        <f>('BFI Scores'!V30-'BFI Scores'!B30)^2</f>
        <v>0.55502500000000021</v>
      </c>
      <c r="R30" s="18">
        <f>('BFI Scores'!W30-'BFI Scores'!C30)^2</f>
        <v>1.111111111108794E-5</v>
      </c>
      <c r="S30" s="18">
        <f>('BFI Scores'!X30-'BFI Scores'!D30)^2</f>
        <v>2.5742419753086283</v>
      </c>
      <c r="T30" s="18">
        <f>('BFI Scores'!Y30-'BFI Scores'!E30)^2</f>
        <v>1.12890625</v>
      </c>
      <c r="U30" s="18">
        <f>('BFI Scores'!Z30-'BFI Scores'!F30)^2</f>
        <v>1.0609000000000006</v>
      </c>
      <c r="V30" s="18">
        <f>('BFI Scores'!AA30-'BFI Scores'!B30)^2</f>
        <v>1.5813062500000008</v>
      </c>
      <c r="W30" s="18">
        <f>('BFI Scores'!AB30-'BFI Scores'!C30)^2</f>
        <v>1.5764197530862771E-2</v>
      </c>
      <c r="X30" s="18">
        <f>('BFI Scores'!AC30-'BFI Scores'!D30)^2</f>
        <v>1.0313530864197418</v>
      </c>
      <c r="Y30" s="18">
        <f>('BFI Scores'!AD30-'BFI Scores'!E30)^2</f>
        <v>0.43890624999999955</v>
      </c>
      <c r="Z30" s="18">
        <f>('BFI Scores'!AE30-'BFI Scores'!F30)^2</f>
        <v>1.7689000000000001</v>
      </c>
      <c r="AA30" s="20">
        <f t="shared" si="0"/>
        <v>1.1472674382716066</v>
      </c>
      <c r="AB30" s="20">
        <f t="shared" si="1"/>
        <v>1.4829741512345676</v>
      </c>
      <c r="AC30" s="20">
        <f t="shared" si="2"/>
        <v>1.6555141975308665</v>
      </c>
      <c r="AD30" s="20">
        <f t="shared" si="3"/>
        <v>1.0638168672839481</v>
      </c>
      <c r="AE30" s="20">
        <f t="shared" si="4"/>
        <v>0.96724595679012104</v>
      </c>
    </row>
    <row r="31" spans="1:31" x14ac:dyDescent="0.2">
      <c r="A31" s="17">
        <v>24211</v>
      </c>
      <c r="B31" s="18">
        <f>('BFI Scores'!G31-'BFI Scores'!B31)^2</f>
        <v>0.25</v>
      </c>
      <c r="C31" s="18">
        <f>('BFI Scores'!H31-'BFI Scores'!C31)^2</f>
        <v>0.19753086419752708</v>
      </c>
      <c r="D31" s="18">
        <f>('BFI Scores'!I31-'BFI Scores'!D31)^2</f>
        <v>1.2345679012310064E-6</v>
      </c>
      <c r="E31" s="18">
        <f>('BFI Scores'!J31-'BFI Scores'!E31)^2</f>
        <v>1.2376562500000001</v>
      </c>
      <c r="F31" s="18">
        <f>('BFI Scores'!K31-'BFI Scores'!F31)^2</f>
        <v>0.68890000000000007</v>
      </c>
      <c r="G31" s="18">
        <f>('BFI Scores'!L31-'BFI Scores'!B31)^2</f>
        <v>0.3751562499999998</v>
      </c>
      <c r="H31" s="18">
        <f>('BFI Scores'!M31-'BFI Scores'!C31)^2</f>
        <v>0.19753086419752708</v>
      </c>
      <c r="I31" s="18">
        <f>('BFI Scores'!N31-'BFI Scores'!D31)^2</f>
        <v>1.2345679012310064E-6</v>
      </c>
      <c r="J31" s="18">
        <f>('BFI Scores'!O31-'BFI Scores'!E31)^2</f>
        <v>0.95062500000000016</v>
      </c>
      <c r="K31" s="18">
        <f>('BFI Scores'!P31-'BFI Scores'!F31)^2</f>
        <v>0.64000000000000046</v>
      </c>
      <c r="L31" s="18">
        <f>('BFI Scores'!Q31-'BFI Scores'!B31)^2</f>
        <v>2.4999999999999823E-3</v>
      </c>
      <c r="M31" s="18">
        <f>('BFI Scores'!R31-'BFI Scores'!C31)^2</f>
        <v>0.18777777777777491</v>
      </c>
      <c r="N31" s="18">
        <f>('BFI Scores'!S31-'BFI Scores'!D31)^2</f>
        <v>6.4741975308639843E-2</v>
      </c>
      <c r="O31" s="18">
        <f>('BFI Scores'!T31-'BFI Scores'!E31)^2</f>
        <v>0.78765624999999995</v>
      </c>
      <c r="P31" s="18">
        <f>('BFI Scores'!U31-'BFI Scores'!F31)^2</f>
        <v>0.60840000000000038</v>
      </c>
      <c r="Q31" s="18">
        <f>('BFI Scores'!V31-'BFI Scores'!B31)^2</f>
        <v>1.3225000000000009</v>
      </c>
      <c r="R31" s="18">
        <f>('BFI Scores'!W31-'BFI Scores'!C31)^2</f>
        <v>0.19753086419752708</v>
      </c>
      <c r="S31" s="18">
        <f>('BFI Scores'!X31-'BFI Scores'!D31)^2</f>
        <v>1.2100000000000071E-2</v>
      </c>
      <c r="T31" s="18">
        <f>('BFI Scores'!Y31-'BFI Scores'!E31)^2</f>
        <v>1.2100000000000002</v>
      </c>
      <c r="U31" s="18">
        <f>('BFI Scores'!Z31-'BFI Scores'!F31)^2</f>
        <v>0.37209999999999988</v>
      </c>
      <c r="V31" s="18">
        <f>('BFI Scores'!AA31-'BFI Scores'!B31)^2</f>
        <v>0.45562499999999978</v>
      </c>
      <c r="W31" s="18">
        <f>('BFI Scores'!AB31-'BFI Scores'!C31)^2</f>
        <v>0.1782716049382696</v>
      </c>
      <c r="X31" s="18">
        <f>('BFI Scores'!AC31-'BFI Scores'!D31)^2</f>
        <v>1.2345679012310064E-6</v>
      </c>
      <c r="Y31" s="18">
        <f>('BFI Scores'!AD31-'BFI Scores'!E31)^2</f>
        <v>0.765625</v>
      </c>
      <c r="Z31" s="18">
        <f>('BFI Scores'!AE31-'BFI Scores'!F31)^2</f>
        <v>0.82810000000000028</v>
      </c>
      <c r="AA31" s="20">
        <f t="shared" si="0"/>
        <v>0.4748176697530857</v>
      </c>
      <c r="AB31" s="20">
        <f t="shared" si="1"/>
        <v>0.43266266975308582</v>
      </c>
      <c r="AC31" s="20">
        <f t="shared" si="2"/>
        <v>0.33021520061728299</v>
      </c>
      <c r="AD31" s="20">
        <f t="shared" si="3"/>
        <v>0.62284617283950561</v>
      </c>
      <c r="AE31" s="20">
        <f t="shared" si="4"/>
        <v>0.44552456790123413</v>
      </c>
    </row>
    <row r="32" spans="1:31" x14ac:dyDescent="0.2">
      <c r="A32" s="17">
        <v>24906</v>
      </c>
      <c r="B32" s="18">
        <f>('BFI Scores'!G32-'BFI Scores'!B32)^2</f>
        <v>2.3639062500000003</v>
      </c>
      <c r="C32" s="18">
        <f>('BFI Scores'!H32-'BFI Scores'!C32)^2</f>
        <v>0.41674197530864726</v>
      </c>
      <c r="D32" s="18">
        <f>('BFI Scores'!I32-'BFI Scores'!D32)^2</f>
        <v>2.1251160493827226</v>
      </c>
      <c r="E32" s="18">
        <f>('BFI Scores'!J32-'BFI Scores'!E32)^2</f>
        <v>0.39689999999999986</v>
      </c>
      <c r="F32" s="18">
        <f>('BFI Scores'!K32-'BFI Scores'!F32)^2</f>
        <v>2.0449000000000006</v>
      </c>
      <c r="G32" s="18">
        <f>('BFI Scores'!L32-'BFI Scores'!B32)^2</f>
        <v>2.6001562499999995</v>
      </c>
      <c r="H32" s="18">
        <f>('BFI Scores'!M32-'BFI Scores'!C32)^2</f>
        <v>0.57254444444444874</v>
      </c>
      <c r="I32" s="18">
        <f>('BFI Scores'!N32-'BFI Scores'!D32)^2</f>
        <v>2.7115111111111223</v>
      </c>
      <c r="J32" s="18">
        <f>('BFI Scores'!O32-'BFI Scores'!E32)^2</f>
        <v>0.42902499999999977</v>
      </c>
      <c r="K32" s="18">
        <f>('BFI Scores'!P32-'BFI Scores'!F32)^2</f>
        <v>2.0449000000000006</v>
      </c>
      <c r="L32" s="18">
        <f>('BFI Scores'!Q32-'BFI Scores'!B32)^2</f>
        <v>2.06640625</v>
      </c>
      <c r="M32" s="18">
        <f>('BFI Scores'!R32-'BFI Scores'!C32)^2</f>
        <v>0.4760999999999993</v>
      </c>
      <c r="N32" s="18">
        <f>('BFI Scores'!S32-'BFI Scores'!D32)^2</f>
        <v>3.168400000000001</v>
      </c>
      <c r="O32" s="18">
        <f>('BFI Scores'!T32-'BFI Scores'!E32)^2</f>
        <v>0.10080624999999993</v>
      </c>
      <c r="P32" s="18">
        <f>('BFI Scores'!U32-'BFI Scores'!F32)^2</f>
        <v>2.2800999999999996</v>
      </c>
      <c r="Q32" s="18">
        <f>('BFI Scores'!V32-'BFI Scores'!B32)^2</f>
        <v>6.8906250000000099E-2</v>
      </c>
      <c r="R32" s="18">
        <f>('BFI Scores'!W32-'BFI Scores'!C32)^2</f>
        <v>0.21881604938271798</v>
      </c>
      <c r="S32" s="18">
        <f>('BFI Scores'!X32-'BFI Scores'!D32)^2</f>
        <v>2.7482271604938355</v>
      </c>
      <c r="T32" s="18">
        <f>('BFI Scores'!Y32-'BFI Scores'!E32)^2</f>
        <v>0.126025</v>
      </c>
      <c r="U32" s="18">
        <f>('BFI Scores'!Z32-'BFI Scores'!F32)^2</f>
        <v>1.4400000000000004</v>
      </c>
      <c r="V32" s="18">
        <f>('BFI Scores'!AA32-'BFI Scores'!B32)^2</f>
        <v>1.8906250000000048E-2</v>
      </c>
      <c r="W32" s="18">
        <f>('BFI Scores'!AB32-'BFI Scores'!C32)^2</f>
        <v>0.19851975308642325</v>
      </c>
      <c r="X32" s="18">
        <f>('BFI Scores'!AC32-'BFI Scores'!D32)^2</f>
        <v>1.1425234567901266</v>
      </c>
      <c r="Y32" s="18">
        <f>('BFI Scores'!AD32-'BFI Scores'!E32)^2</f>
        <v>7.1556249999999919E-2</v>
      </c>
      <c r="Z32" s="18">
        <f>('BFI Scores'!AE32-'BFI Scores'!F32)^2</f>
        <v>0.54760000000000031</v>
      </c>
      <c r="AA32" s="20">
        <f t="shared" si="0"/>
        <v>1.4695128549382741</v>
      </c>
      <c r="AB32" s="20">
        <f t="shared" si="1"/>
        <v>1.6716273611111141</v>
      </c>
      <c r="AC32" s="20">
        <f t="shared" si="2"/>
        <v>1.6183624999999999</v>
      </c>
      <c r="AD32" s="20">
        <f t="shared" si="3"/>
        <v>0.92039489197531077</v>
      </c>
      <c r="AE32" s="20">
        <f t="shared" si="4"/>
        <v>0.39582114197531004</v>
      </c>
    </row>
    <row r="33" spans="1:31" x14ac:dyDescent="0.2">
      <c r="A33" s="17">
        <v>26106</v>
      </c>
      <c r="B33" s="18">
        <f>('BFI Scores'!G33-'BFI Scores'!B33)^2</f>
        <v>0.20250000000000015</v>
      </c>
      <c r="C33" s="18">
        <f>('BFI Scores'!H33-'BFI Scores'!C33)^2</f>
        <v>1.7541530864197681</v>
      </c>
      <c r="D33" s="18">
        <f>('BFI Scores'!I33-'BFI Scores'!D33)^2</f>
        <v>0.58948271604938629</v>
      </c>
      <c r="E33" s="18">
        <f>('BFI Scores'!J33-'BFI Scores'!E33)^2</f>
        <v>0.12249999999999975</v>
      </c>
      <c r="F33" s="18">
        <f>('BFI Scores'!K33-'BFI Scores'!F33)^2</f>
        <v>1.1448999999999996</v>
      </c>
      <c r="G33" s="18">
        <f>('BFI Scores'!L33-'BFI Scores'!B33)^2</f>
        <v>0.25</v>
      </c>
      <c r="H33" s="18">
        <f>('BFI Scores'!M33-'BFI Scores'!C33)^2</f>
        <v>2.6028444444444334</v>
      </c>
      <c r="I33" s="18">
        <f>('BFI Scores'!N33-'BFI Scores'!D33)^2</f>
        <v>0.55585308641975995</v>
      </c>
      <c r="J33" s="18">
        <f>('BFI Scores'!O33-'BFI Scores'!E33)^2</f>
        <v>3.0624999999999937E-2</v>
      </c>
      <c r="K33" s="18">
        <f>('BFI Scores'!P33-'BFI Scores'!F33)^2</f>
        <v>1.6641000000000001</v>
      </c>
      <c r="L33" s="18">
        <f>('BFI Scores'!Q33-'BFI Scores'!B33)^2</f>
        <v>2.4999999999999823E-3</v>
      </c>
      <c r="M33" s="18">
        <f>('BFI Scores'!R33-'BFI Scores'!C33)^2</f>
        <v>7.302004938271593</v>
      </c>
      <c r="N33" s="18">
        <f>('BFI Scores'!S33-'BFI Scores'!D33)^2</f>
        <v>0.43121111111111587</v>
      </c>
      <c r="O33" s="18">
        <f>('BFI Scores'!T33-'BFI Scores'!E33)^2</f>
        <v>0.52562499999999945</v>
      </c>
      <c r="P33" s="18">
        <f>('BFI Scores'!U33-'BFI Scores'!F33)^2</f>
        <v>1.5875999999999995</v>
      </c>
      <c r="Q33" s="18">
        <f>('BFI Scores'!V33-'BFI Scores'!B33)^2</f>
        <v>0.10562500000000012</v>
      </c>
      <c r="R33" s="18">
        <f>('BFI Scores'!W33-'BFI Scores'!C33)^2</f>
        <v>2.0928444444444545</v>
      </c>
      <c r="S33" s="18">
        <f>('BFI Scores'!X33-'BFI Scores'!D33)^2</f>
        <v>0.60666790123457004</v>
      </c>
      <c r="T33" s="18">
        <f>('BFI Scores'!Y33-'BFI Scores'!E33)^2</f>
        <v>0.13140624999999986</v>
      </c>
      <c r="U33" s="18">
        <f>('BFI Scores'!Z33-'BFI Scores'!F33)^2</f>
        <v>1.2100000000000002</v>
      </c>
      <c r="V33" s="18">
        <f>('BFI Scores'!AA33-'BFI Scores'!B33)^2</f>
        <v>0.25</v>
      </c>
      <c r="W33" s="18">
        <f>('BFI Scores'!AB33-'BFI Scores'!C33)^2</f>
        <v>2.6028444444444334</v>
      </c>
      <c r="X33" s="18">
        <f>('BFI Scores'!AC33-'BFI Scores'!D33)^2</f>
        <v>0.53940864197530247</v>
      </c>
      <c r="Y33" s="18">
        <f>('BFI Scores'!AD33-'BFI Scores'!E33)^2</f>
        <v>0.765625</v>
      </c>
      <c r="Z33" s="18">
        <f>('BFI Scores'!AE33-'BFI Scores'!F33)^2</f>
        <v>2.1315999999999997</v>
      </c>
      <c r="AA33" s="20">
        <f t="shared" si="0"/>
        <v>0.7627071604938308</v>
      </c>
      <c r="AB33" s="20">
        <f t="shared" si="1"/>
        <v>1.0206845061728387</v>
      </c>
      <c r="AC33" s="20">
        <f t="shared" si="2"/>
        <v>1.9697882098765418</v>
      </c>
      <c r="AD33" s="20">
        <f t="shared" si="3"/>
        <v>0.82930871913580495</v>
      </c>
      <c r="AE33" s="20">
        <f t="shared" si="4"/>
        <v>1.2578956172839471</v>
      </c>
    </row>
    <row r="34" spans="1:31" x14ac:dyDescent="0.2">
      <c r="A34" s="17">
        <v>27554</v>
      </c>
      <c r="B34" s="18">
        <f>('BFI Scores'!G34-'BFI Scores'!B34)^2</f>
        <v>1.67055625</v>
      </c>
      <c r="C34" s="18">
        <f>('BFI Scores'!H34-'BFI Scores'!C34)^2</f>
        <v>1.3430234567901254</v>
      </c>
      <c r="D34" s="18">
        <f>('BFI Scores'!I34-'BFI Scores'!D34)^2</f>
        <v>0.57086419753087092</v>
      </c>
      <c r="E34" s="18">
        <f>('BFI Scores'!J34-'BFI Scores'!E34)^2</f>
        <v>5.2899999999999989E-2</v>
      </c>
      <c r="F34" s="18">
        <f>('BFI Scores'!K34-'BFI Scores'!F34)^2</f>
        <v>1.3924000000000003</v>
      </c>
      <c r="G34" s="18">
        <f>('BFI Scores'!L34-'BFI Scores'!B34)^2</f>
        <v>2.2650249999999996</v>
      </c>
      <c r="H34" s="18">
        <f>('BFI Scores'!M34-'BFI Scores'!C34)^2</f>
        <v>1.3950234567901212</v>
      </c>
      <c r="I34" s="18">
        <f>('BFI Scores'!N34-'BFI Scores'!D34)^2</f>
        <v>0.79012345679012574</v>
      </c>
      <c r="J34" s="18">
        <f>('BFI Scores'!O34-'BFI Scores'!E34)^2</f>
        <v>0.11902500000000013</v>
      </c>
      <c r="K34" s="18">
        <f>('BFI Scores'!P34-'BFI Scores'!F34)^2</f>
        <v>1.5128999999999999</v>
      </c>
      <c r="L34" s="18">
        <f>('BFI Scores'!Q34-'BFI Scores'!B34)^2</f>
        <v>2.7805562500000001</v>
      </c>
      <c r="M34" s="18">
        <f>('BFI Scores'!R34-'BFI Scores'!C34)^2</f>
        <v>2.7519123456790151</v>
      </c>
      <c r="N34" s="18">
        <f>('BFI Scores'!S34-'BFI Scores'!D34)^2</f>
        <v>1</v>
      </c>
      <c r="O34" s="18">
        <f>('BFI Scores'!T34-'BFI Scores'!E34)^2</f>
        <v>0.38440000000000013</v>
      </c>
      <c r="P34" s="18">
        <f>('BFI Scores'!U34-'BFI Scores'!F34)^2</f>
        <v>1.5128999999999999</v>
      </c>
      <c r="Q34" s="18">
        <f>('BFI Scores'!V34-'BFI Scores'!B34)^2</f>
        <v>1.3053062500000001</v>
      </c>
      <c r="R34" s="18">
        <f>('BFI Scores'!W34-'BFI Scores'!C34)^2</f>
        <v>1.317393827160499</v>
      </c>
      <c r="S34" s="18">
        <f>('BFI Scores'!X34-'BFI Scores'!D34)^2</f>
        <v>1.1377777777777849</v>
      </c>
      <c r="T34" s="18">
        <f>('BFI Scores'!Y34-'BFI Scores'!E34)^2</f>
        <v>0.2450250000000001</v>
      </c>
      <c r="U34" s="18">
        <f>('BFI Scores'!Z34-'BFI Scores'!F34)^2</f>
        <v>1.0816000000000001</v>
      </c>
      <c r="V34" s="18">
        <f>('BFI Scores'!AA34-'BFI Scores'!B34)^2</f>
        <v>4.0000000000000072E-4</v>
      </c>
      <c r="W34" s="18">
        <f>('BFI Scores'!AB34-'BFI Scores'!C34)^2</f>
        <v>0.62761604938271243</v>
      </c>
      <c r="X34" s="18">
        <f>('BFI Scores'!AC34-'BFI Scores'!D34)^2</f>
        <v>0.81000000000000061</v>
      </c>
      <c r="Y34" s="18">
        <f>('BFI Scores'!AD34-'BFI Scores'!E34)^2</f>
        <v>0.63202499999999984</v>
      </c>
      <c r="Z34" s="18">
        <f>('BFI Scores'!AE34-'BFI Scores'!F34)^2</f>
        <v>0.88360000000000072</v>
      </c>
      <c r="AA34" s="20">
        <f t="shared" ref="AA34:AA65" si="5">AVERAGE(B34:F34)</f>
        <v>1.0059487808641994</v>
      </c>
      <c r="AB34" s="20">
        <f t="shared" ref="AB34:AB65" si="6">AVERAGE(G34:K34)</f>
        <v>1.2164193827160494</v>
      </c>
      <c r="AC34" s="20">
        <f t="shared" ref="AC34:AC65" si="7">AVERAGE(L34:P34)</f>
        <v>1.6859537191358029</v>
      </c>
      <c r="AD34" s="20">
        <f t="shared" ref="AD34:AD65" si="8">AVERAGE(Q34:U34)</f>
        <v>1.0174205709876569</v>
      </c>
      <c r="AE34" s="20">
        <f t="shared" ref="AE34:AE65" si="9">AVERAGE(V34:Z34)</f>
        <v>0.59072820987654273</v>
      </c>
    </row>
    <row r="35" spans="1:31" x14ac:dyDescent="0.2">
      <c r="A35" s="17">
        <v>28491</v>
      </c>
      <c r="B35" s="18">
        <f>('BFI Scores'!G35-'BFI Scores'!B35)^2</f>
        <v>3.515625E-2</v>
      </c>
      <c r="C35" s="18">
        <f>('BFI Scores'!H35-'BFI Scores'!C35)^2</f>
        <v>0.80201975308641038</v>
      </c>
      <c r="D35" s="18">
        <f>('BFI Scores'!I35-'BFI Scores'!D35)^2</f>
        <v>6.7600000000000118E-2</v>
      </c>
      <c r="E35" s="18">
        <f>('BFI Scores'!J35-'BFI Scores'!E35)^2</f>
        <v>3.03630625</v>
      </c>
      <c r="F35" s="18">
        <f>('BFI Scores'!K35-'BFI Scores'!F35)^2</f>
        <v>0.65610000000000013</v>
      </c>
      <c r="G35" s="18">
        <f>('BFI Scores'!L35-'BFI Scores'!B35)^2</f>
        <v>5.6250000000000267E-3</v>
      </c>
      <c r="H35" s="18">
        <f>('BFI Scores'!M35-'BFI Scores'!C35)^2</f>
        <v>0.36804444444444795</v>
      </c>
      <c r="I35" s="18">
        <f>('BFI Scores'!N35-'BFI Scores'!D35)^2</f>
        <v>1.6612345679012618E-2</v>
      </c>
      <c r="J35" s="18">
        <f>('BFI Scores'!O35-'BFI Scores'!E35)^2</f>
        <v>2.1535562499999994</v>
      </c>
      <c r="K35" s="18">
        <f>('BFI Scores'!P35-'BFI Scores'!F35)^2</f>
        <v>0.62410000000000077</v>
      </c>
      <c r="L35" s="18">
        <f>('BFI Scores'!Q35-'BFI Scores'!B35)^2</f>
        <v>1.5625000000000445E-4</v>
      </c>
      <c r="M35" s="18">
        <f>('BFI Scores'!R35-'BFI Scores'!C35)^2</f>
        <v>0.36804444444443613</v>
      </c>
      <c r="N35" s="18">
        <f>('BFI Scores'!S35-'BFI Scores'!D35)^2</f>
        <v>0.46846419753085805</v>
      </c>
      <c r="O35" s="18">
        <f>('BFI Scores'!T35-'BFI Scores'!E35)^2</f>
        <v>1.7689000000000001</v>
      </c>
      <c r="P35" s="18">
        <f>('BFI Scores'!U35-'BFI Scores'!F35)^2</f>
        <v>0.56250000000000067</v>
      </c>
      <c r="Q35" s="18">
        <f>('BFI Scores'!V35-'BFI Scores'!B35)^2</f>
        <v>0.25</v>
      </c>
      <c r="R35" s="18">
        <f>('BFI Scores'!W35-'BFI Scores'!C35)^2</f>
        <v>0.78224197530863437</v>
      </c>
      <c r="S35" s="18">
        <f>('BFI Scores'!X35-'BFI Scores'!D35)^2</f>
        <v>0.1155999999999999</v>
      </c>
      <c r="T35" s="18">
        <f>('BFI Scores'!Y35-'BFI Scores'!E35)^2</f>
        <v>2.3408999999999995</v>
      </c>
      <c r="U35" s="18">
        <f>('BFI Scores'!Z35-'BFI Scores'!F35)^2</f>
        <v>0.64000000000000046</v>
      </c>
      <c r="V35" s="18">
        <f>('BFI Scores'!AA35-'BFI Scores'!B35)^2</f>
        <v>0.31640625</v>
      </c>
      <c r="W35" s="18">
        <f>('BFI Scores'!AB35-'BFI Scores'!C35)^2</f>
        <v>1.898271604938339E-2</v>
      </c>
      <c r="X35" s="18">
        <f>('BFI Scores'!AC35-'BFI Scores'!D35)^2</f>
        <v>3.8716049382713233E-3</v>
      </c>
      <c r="Y35" s="18">
        <f>('BFI Scores'!AD35-'BFI Scores'!E35)^2</f>
        <v>1.5750249999999997</v>
      </c>
      <c r="Z35" s="18">
        <f>('BFI Scores'!AE35-'BFI Scores'!F35)^2</f>
        <v>0.67239999999999978</v>
      </c>
      <c r="AA35" s="20">
        <f t="shared" si="5"/>
        <v>0.91943645061728208</v>
      </c>
      <c r="AB35" s="20">
        <f t="shared" si="6"/>
        <v>0.63358760802469216</v>
      </c>
      <c r="AC35" s="20">
        <f t="shared" si="7"/>
        <v>0.63361297839505892</v>
      </c>
      <c r="AD35" s="20">
        <f t="shared" si="8"/>
        <v>0.82574839506172693</v>
      </c>
      <c r="AE35" s="20">
        <f t="shared" si="9"/>
        <v>0.51733711419753081</v>
      </c>
    </row>
    <row r="36" spans="1:31" x14ac:dyDescent="0.2">
      <c r="A36" s="17">
        <v>29078</v>
      </c>
      <c r="B36" s="18">
        <f>('BFI Scores'!G36-'BFI Scores'!B36)^2</f>
        <v>0</v>
      </c>
      <c r="C36" s="18">
        <f>('BFI Scores'!H36-'BFI Scores'!C36)^2</f>
        <v>0.20551111111110812</v>
      </c>
      <c r="D36" s="18">
        <f>('BFI Scores'!I36-'BFI Scores'!D36)^2</f>
        <v>3.6481000000000003</v>
      </c>
      <c r="E36" s="18">
        <f>('BFI Scores'!J36-'BFI Scores'!E36)^2</f>
        <v>2.0250000000000138E-3</v>
      </c>
      <c r="F36" s="18">
        <f>('BFI Scores'!K36-'BFI Scores'!F36)^2</f>
        <v>5.2899999999999989E-2</v>
      </c>
      <c r="G36" s="18">
        <f>('BFI Scores'!L36-'BFI Scores'!B36)^2</f>
        <v>7.6562499999999842E-3</v>
      </c>
      <c r="H36" s="18">
        <f>('BFI Scores'!M36-'BFI Scores'!C36)^2</f>
        <v>0.11711604938271467</v>
      </c>
      <c r="I36" s="18">
        <f>('BFI Scores'!N36-'BFI Scores'!D36)^2</f>
        <v>3.9512604938271707</v>
      </c>
      <c r="J36" s="18">
        <f>('BFI Scores'!O36-'BFI Scores'!E36)^2</f>
        <v>1.1556250000000032E-2</v>
      </c>
      <c r="K36" s="18">
        <f>('BFI Scores'!P36-'BFI Scores'!F36)^2</f>
        <v>0.12250000000000007</v>
      </c>
      <c r="L36" s="18">
        <f>('BFI Scores'!Q36-'BFI Scores'!B36)^2</f>
        <v>0.390625</v>
      </c>
      <c r="M36" s="18">
        <f>('BFI Scores'!R36-'BFI Scores'!C36)^2</f>
        <v>6.3999999999999405E-3</v>
      </c>
      <c r="N36" s="18">
        <f>('BFI Scores'!S36-'BFI Scores'!D36)^2</f>
        <v>3.9955567901234632</v>
      </c>
      <c r="O36" s="18">
        <f>('BFI Scores'!T36-'BFI Scores'!E36)^2</f>
        <v>1.4400000000000026E-2</v>
      </c>
      <c r="P36" s="18">
        <f>('BFI Scores'!U36-'BFI Scores'!F36)^2</f>
        <v>0.54760000000000031</v>
      </c>
      <c r="Q36" s="18">
        <f>('BFI Scores'!V36-'BFI Scores'!B36)^2</f>
        <v>0.34515624999999989</v>
      </c>
      <c r="R36" s="18">
        <f>('BFI Scores'!W36-'BFI Scores'!C36)^2</f>
        <v>0.14951111111110599</v>
      </c>
      <c r="S36" s="18">
        <f>('BFI Scores'!X36-'BFI Scores'!D36)^2</f>
        <v>3.9955567901234632</v>
      </c>
      <c r="T36" s="18">
        <f>('BFI Scores'!Y36-'BFI Scores'!E36)^2</f>
        <v>4.0000000000000072E-4</v>
      </c>
      <c r="U36" s="18">
        <f>('BFI Scores'!Z36-'BFI Scores'!F36)^2</f>
        <v>3.5999999999999531E-3</v>
      </c>
      <c r="V36" s="18">
        <f>('BFI Scores'!AA36-'BFI Scores'!B36)^2</f>
        <v>0.74390624999999966</v>
      </c>
      <c r="W36" s="18">
        <f>('BFI Scores'!AB36-'BFI Scores'!C36)^2</f>
        <v>0.14439999999999992</v>
      </c>
      <c r="X36" s="18">
        <f>('BFI Scores'!AC36-'BFI Scores'!D36)^2</f>
        <v>4.2207419753086661</v>
      </c>
      <c r="Y36" s="18">
        <f>('BFI Scores'!AD36-'BFI Scores'!E36)^2</f>
        <v>9.0250000000000365E-3</v>
      </c>
      <c r="Z36" s="18">
        <f>('BFI Scores'!AE36-'BFI Scores'!F36)^2</f>
        <v>1.6899999999999971E-2</v>
      </c>
      <c r="AA36" s="20">
        <f t="shared" si="5"/>
        <v>0.78170722222222178</v>
      </c>
      <c r="AB36" s="20">
        <f t="shared" si="6"/>
        <v>0.84201780864197706</v>
      </c>
      <c r="AC36" s="20">
        <f t="shared" si="7"/>
        <v>0.99091635802469269</v>
      </c>
      <c r="AD36" s="20">
        <f t="shared" si="8"/>
        <v>0.89884483024691375</v>
      </c>
      <c r="AE36" s="20">
        <f t="shared" si="9"/>
        <v>1.0269946450617331</v>
      </c>
    </row>
    <row r="37" spans="1:31" x14ac:dyDescent="0.2">
      <c r="A37" s="17">
        <v>31715</v>
      </c>
      <c r="B37" s="18">
        <f>('BFI Scores'!G37-'BFI Scores'!B37)^2</f>
        <v>0.2756249999999999</v>
      </c>
      <c r="C37" s="18">
        <f>('BFI Scores'!H37-'BFI Scores'!C37)^2</f>
        <v>0.22827160493827336</v>
      </c>
      <c r="D37" s="18">
        <f>('BFI Scores'!I37-'BFI Scores'!D37)^2</f>
        <v>0.284444444444441</v>
      </c>
      <c r="E37" s="18">
        <f>('BFI Scores'!J37-'BFI Scores'!E37)^2</f>
        <v>0.33930625000000003</v>
      </c>
      <c r="F37" s="18">
        <f>('BFI Scores'!K37-'BFI Scores'!F37)^2</f>
        <v>0.34810000000000035</v>
      </c>
      <c r="G37" s="18">
        <f>('BFI Scores'!L37-'BFI Scores'!B37)^2</f>
        <v>1.0251562500000004</v>
      </c>
      <c r="H37" s="18">
        <f>('BFI Scores'!M37-'BFI Scores'!C37)^2</f>
        <v>0.26123456790123362</v>
      </c>
      <c r="I37" s="18">
        <f>('BFI Scores'!N37-'BFI Scores'!D37)^2</f>
        <v>7.1111111111107767E-2</v>
      </c>
      <c r="J37" s="18">
        <f>('BFI Scores'!O37-'BFI Scores'!E37)^2</f>
        <v>8.7025000000000088E-2</v>
      </c>
      <c r="K37" s="18">
        <f>('BFI Scores'!P37-'BFI Scores'!F37)^2</f>
        <v>0.21159999999999995</v>
      </c>
      <c r="L37" s="18">
        <f>('BFI Scores'!Q37-'BFI Scores'!B37)^2</f>
        <v>1.9251562500000006</v>
      </c>
      <c r="M37" s="18">
        <f>('BFI Scores'!R37-'BFI Scores'!C37)^2</f>
        <v>0.73197530864198224</v>
      </c>
      <c r="N37" s="18">
        <f>('BFI Scores'!S37-'BFI Scores'!D37)^2</f>
        <v>1.2345679012343617E-4</v>
      </c>
      <c r="O37" s="18">
        <f>('BFI Scores'!T37-'BFI Scores'!E37)^2</f>
        <v>0.55502500000000021</v>
      </c>
      <c r="P37" s="18">
        <f>('BFI Scores'!U37-'BFI Scores'!F37)^2</f>
        <v>0.17640000000000031</v>
      </c>
      <c r="Q37" s="18">
        <f>('BFI Scores'!V37-'BFI Scores'!B37)^2</f>
        <v>6.2500000000001779E-4</v>
      </c>
      <c r="R37" s="18">
        <f>('BFI Scores'!W37-'BFI Scores'!C37)^2</f>
        <v>4.4567901234567588E-2</v>
      </c>
      <c r="S37" s="18">
        <f>('BFI Scores'!X37-'BFI Scores'!D37)^2</f>
        <v>0.22827160493827381</v>
      </c>
      <c r="T37" s="18">
        <f>('BFI Scores'!Y37-'BFI Scores'!E37)^2</f>
        <v>0.51840000000000031</v>
      </c>
      <c r="U37" s="18">
        <f>('BFI Scores'!Z37-'BFI Scores'!F37)^2</f>
        <v>1.6899999999999971E-2</v>
      </c>
      <c r="V37" s="18">
        <f>('BFI Scores'!AA37-'BFI Scores'!B37)^2</f>
        <v>0.390625</v>
      </c>
      <c r="W37" s="18">
        <f>('BFI Scores'!AB37-'BFI Scores'!C37)^2</f>
        <v>0.2727160493827141</v>
      </c>
      <c r="X37" s="18">
        <f>('BFI Scores'!AC37-'BFI Scores'!D37)^2</f>
        <v>0.1782716049382696</v>
      </c>
      <c r="Y37" s="18">
        <f>('BFI Scores'!AD37-'BFI Scores'!E37)^2</f>
        <v>2.7473062500000007</v>
      </c>
      <c r="Z37" s="18">
        <f>('BFI Scores'!AE37-'BFI Scores'!F37)^2</f>
        <v>1.4400000000000026E-2</v>
      </c>
      <c r="AA37" s="20">
        <f t="shared" si="5"/>
        <v>0.2951494598765429</v>
      </c>
      <c r="AB37" s="20">
        <f t="shared" si="6"/>
        <v>0.33122538580246841</v>
      </c>
      <c r="AC37" s="20">
        <f t="shared" si="7"/>
        <v>0.67773600308642135</v>
      </c>
      <c r="AD37" s="20">
        <f t="shared" si="8"/>
        <v>0.16175290123456834</v>
      </c>
      <c r="AE37" s="20">
        <f t="shared" si="9"/>
        <v>0.72066378086419691</v>
      </c>
    </row>
    <row r="38" spans="1:31" x14ac:dyDescent="0.2">
      <c r="A38" s="17">
        <v>32743</v>
      </c>
      <c r="B38" s="18">
        <f>('BFI Scores'!G38-'BFI Scores'!B38)^2</f>
        <v>5.2326562500000007</v>
      </c>
      <c r="C38" s="18">
        <f>('BFI Scores'!H38-'BFI Scores'!C38)^2</f>
        <v>0.16178271604938113</v>
      </c>
      <c r="D38" s="18">
        <f>('BFI Scores'!I38-'BFI Scores'!D38)^2</f>
        <v>0.75303827160494252</v>
      </c>
      <c r="E38" s="18">
        <f>('BFI Scores'!J38-'BFI Scores'!E38)^2</f>
        <v>6.2125562499999987</v>
      </c>
      <c r="F38" s="18">
        <f>('BFI Scores'!K38-'BFI Scores'!F38)^2</f>
        <v>0.2401000000000002</v>
      </c>
      <c r="G38" s="18">
        <f>('BFI Scores'!L38-'BFI Scores'!B38)^2</f>
        <v>5.5225000000000009</v>
      </c>
      <c r="H38" s="18">
        <f>('BFI Scores'!M38-'BFI Scores'!C38)^2</f>
        <v>5.5486419753084104E-2</v>
      </c>
      <c r="I38" s="18">
        <f>('BFI Scores'!N38-'BFI Scores'!D38)^2</f>
        <v>0.34810000000000035</v>
      </c>
      <c r="J38" s="18">
        <f>('BFI Scores'!O38-'BFI Scores'!E38)^2</f>
        <v>6.2750249999999994</v>
      </c>
      <c r="K38" s="18">
        <f>('BFI Scores'!P38-'BFI Scores'!F38)^2</f>
        <v>0.25</v>
      </c>
      <c r="L38" s="18">
        <f>('BFI Scores'!Q38-'BFI Scores'!B38)^2</f>
        <v>5.46390625</v>
      </c>
      <c r="M38" s="18">
        <f>('BFI Scores'!R38-'BFI Scores'!C38)^2</f>
        <v>5.0375308641973517E-2</v>
      </c>
      <c r="N38" s="18">
        <f>('BFI Scores'!S38-'BFI Scores'!D38)^2</f>
        <v>0.53940864197530247</v>
      </c>
      <c r="O38" s="18">
        <f>('BFI Scores'!T38-'BFI Scores'!E38)^2</f>
        <v>6.2750249999999994</v>
      </c>
      <c r="P38" s="18">
        <f>('BFI Scores'!U38-'BFI Scores'!F38)^2</f>
        <v>0.3249000000000003</v>
      </c>
      <c r="Q38" s="18">
        <f>('BFI Scores'!V38-'BFI Scores'!B38)^2</f>
        <v>5.5814062499999988</v>
      </c>
      <c r="R38" s="18">
        <f>('BFI Scores'!W38-'BFI Scores'!C38)^2</f>
        <v>5.0375308641973517E-2</v>
      </c>
      <c r="S38" s="18">
        <f>('BFI Scores'!X38-'BFI Scores'!D38)^2</f>
        <v>0.49155679012345543</v>
      </c>
      <c r="T38" s="18">
        <f>('BFI Scores'!Y38-'BFI Scores'!E38)^2</f>
        <v>5.8443062499999998</v>
      </c>
      <c r="U38" s="18">
        <f>('BFI Scores'!Z38-'BFI Scores'!F38)^2</f>
        <v>0.23040000000000041</v>
      </c>
      <c r="V38" s="18">
        <f>('BFI Scores'!AA38-'BFI Scores'!B38)^2</f>
        <v>4.6764062500000003</v>
      </c>
      <c r="W38" s="18">
        <f>('BFI Scores'!AB38-'BFI Scores'!C38)^2</f>
        <v>4.7456790123458163E-3</v>
      </c>
      <c r="X38" s="18">
        <f>('BFI Scores'!AC38-'BFI Scores'!D38)^2</f>
        <v>0.18874197530863809</v>
      </c>
      <c r="Y38" s="18">
        <f>('BFI Scores'!AD38-'BFI Scores'!E38)^2</f>
        <v>2.3408999999999995</v>
      </c>
      <c r="Z38" s="18">
        <f>('BFI Scores'!AE38-'BFI Scores'!F38)^2</f>
        <v>0.10240000000000019</v>
      </c>
      <c r="AA38" s="20">
        <f t="shared" si="5"/>
        <v>2.5200266975308647</v>
      </c>
      <c r="AB38" s="20">
        <f t="shared" si="6"/>
        <v>2.490222283950617</v>
      </c>
      <c r="AC38" s="20">
        <f t="shared" si="7"/>
        <v>2.5307230401234548</v>
      </c>
      <c r="AD38" s="20">
        <f t="shared" si="8"/>
        <v>2.4396089197530859</v>
      </c>
      <c r="AE38" s="20">
        <f t="shared" si="9"/>
        <v>1.4626387808641967</v>
      </c>
    </row>
    <row r="39" spans="1:31" x14ac:dyDescent="0.2">
      <c r="A39" s="17">
        <v>33073</v>
      </c>
      <c r="B39" s="18">
        <f>('BFI Scores'!G39-'BFI Scores'!B39)^2</f>
        <v>0.390625</v>
      </c>
      <c r="C39" s="18">
        <f>('BFI Scores'!H39-'BFI Scores'!C39)^2</f>
        <v>4.5938271604941197E-3</v>
      </c>
      <c r="D39" s="18">
        <f>('BFI Scores'!I39-'BFI Scores'!D39)^2</f>
        <v>1.4884000000000004</v>
      </c>
      <c r="E39" s="18">
        <f>('BFI Scores'!J39-'BFI Scores'!E39)^2</f>
        <v>6.088556249999999</v>
      </c>
      <c r="F39" s="18">
        <f>('BFI Scores'!K39-'BFI Scores'!F39)^2</f>
        <v>1.2320999999999998</v>
      </c>
      <c r="G39" s="18">
        <f>('BFI Scores'!L39-'BFI Scores'!B39)^2</f>
        <v>0.45562499999999978</v>
      </c>
      <c r="H39" s="18">
        <f>('BFI Scores'!M39-'BFI Scores'!C39)^2</f>
        <v>0.11185308641975034</v>
      </c>
      <c r="I39" s="18">
        <f>('BFI Scores'!N39-'BFI Scores'!D39)^2</f>
        <v>1.4614123456790151</v>
      </c>
      <c r="J39" s="18">
        <f>('BFI Scores'!O39-'BFI Scores'!E39)^2</f>
        <v>6.2125562499999987</v>
      </c>
      <c r="K39" s="18">
        <f>('BFI Scores'!P39-'BFI Scores'!F39)^2</f>
        <v>1.1663999999999992</v>
      </c>
      <c r="L39" s="18">
        <f>('BFI Scores'!Q39-'BFI Scores'!B39)^2</f>
        <v>0.80999999999999983</v>
      </c>
      <c r="M39" s="18">
        <f>('BFI Scores'!R39-'BFI Scores'!C39)^2</f>
        <v>0.19851975308642364</v>
      </c>
      <c r="N39" s="18">
        <f>('BFI Scores'!S39-'BFI Scores'!D39)^2</f>
        <v>1.6270419753086534</v>
      </c>
      <c r="O39" s="18">
        <f>('BFI Scores'!T39-'BFI Scores'!E39)^2</f>
        <v>5.6643999999999997</v>
      </c>
      <c r="P39" s="18">
        <f>('BFI Scores'!U39-'BFI Scores'!F39)^2</f>
        <v>1.6899999999999995</v>
      </c>
      <c r="Q39" s="18">
        <f>('BFI Scores'!V39-'BFI Scores'!B39)^2</f>
        <v>0.40640625000000025</v>
      </c>
      <c r="R39" s="18">
        <f>('BFI Scores'!W39-'BFI Scores'!C39)^2</f>
        <v>5.877777777778254E-3</v>
      </c>
      <c r="S39" s="18">
        <f>('BFI Scores'!X39-'BFI Scores'!D39)^2</f>
        <v>1.2051160493827213</v>
      </c>
      <c r="T39" s="18">
        <f>('BFI Scores'!Y39-'BFI Scores'!E39)^2</f>
        <v>5.9048999999999987</v>
      </c>
      <c r="U39" s="18">
        <f>('BFI Scores'!Z39-'BFI Scores'!F39)^2</f>
        <v>1.0404</v>
      </c>
      <c r="V39" s="18">
        <f>('BFI Scores'!AA39-'BFI Scores'!B39)^2</f>
        <v>0.40640625000000025</v>
      </c>
      <c r="W39" s="18">
        <f>('BFI Scores'!AB39-'BFI Scores'!C39)^2</f>
        <v>8.933456790123516E-2</v>
      </c>
      <c r="X39" s="18">
        <f>('BFI Scores'!AC39-'BFI Scores'!D39)^2</f>
        <v>1.801560493827155</v>
      </c>
      <c r="Y39" s="18">
        <f>('BFI Scores'!AD39-'BFI Scores'!E39)^2</f>
        <v>6.2750249999999994</v>
      </c>
      <c r="Z39" s="18">
        <f>('BFI Scores'!AE39-'BFI Scores'!F39)^2</f>
        <v>0.24009999999999979</v>
      </c>
      <c r="AA39" s="20">
        <f t="shared" si="5"/>
        <v>1.8408550154320984</v>
      </c>
      <c r="AB39" s="20">
        <f t="shared" si="6"/>
        <v>1.8815693364197528</v>
      </c>
      <c r="AC39" s="20">
        <f t="shared" si="7"/>
        <v>1.997992345679015</v>
      </c>
      <c r="AD39" s="20">
        <f t="shared" si="8"/>
        <v>1.7125400154320995</v>
      </c>
      <c r="AE39" s="20">
        <f t="shared" si="9"/>
        <v>1.7624852623456779</v>
      </c>
    </row>
    <row r="40" spans="1:31" x14ac:dyDescent="0.2">
      <c r="A40" s="17">
        <v>33116</v>
      </c>
      <c r="B40" s="18">
        <f>('BFI Scores'!G40-'BFI Scores'!B40)^2</f>
        <v>1.4400000000000026E-2</v>
      </c>
      <c r="C40" s="18">
        <f>('BFI Scores'!H40-'BFI Scores'!C40)^2</f>
        <v>2.4197530864180226E-4</v>
      </c>
      <c r="D40" s="18">
        <f>('BFI Scores'!I40-'BFI Scores'!D40)^2</f>
        <v>0.56583827160493483</v>
      </c>
      <c r="E40" s="18">
        <f>('BFI Scores'!J40-'BFI Scores'!E40)^2</f>
        <v>0.13505624999999996</v>
      </c>
      <c r="F40" s="18">
        <f>('BFI Scores'!K40-'BFI Scores'!F40)^2</f>
        <v>9.6100000000000033E-2</v>
      </c>
      <c r="G40" s="18">
        <f>('BFI Scores'!L40-'BFI Scores'!B40)^2</f>
        <v>2.4999999999998934E-5</v>
      </c>
      <c r="H40" s="18">
        <f>('BFI Scores'!M40-'BFI Scores'!C40)^2</f>
        <v>0.1393777777777756</v>
      </c>
      <c r="I40" s="18">
        <f>('BFI Scores'!N40-'BFI Scores'!D40)^2</f>
        <v>0.19457901234567795</v>
      </c>
      <c r="J40" s="18">
        <f>('BFI Scores'!O40-'BFI Scores'!E40)^2</f>
        <v>0.126025</v>
      </c>
      <c r="K40" s="18">
        <f>('BFI Scores'!P40-'BFI Scores'!F40)^2</f>
        <v>7.2900000000000006E-2</v>
      </c>
      <c r="L40" s="18">
        <f>('BFI Scores'!Q40-'BFI Scores'!B40)^2</f>
        <v>6.8062500000000033E-3</v>
      </c>
      <c r="M40" s="18">
        <f>('BFI Scores'!R40-'BFI Scores'!C40)^2</f>
        <v>5.7600000000000103E-2</v>
      </c>
      <c r="N40" s="18">
        <f>('BFI Scores'!S40-'BFI Scores'!D40)^2</f>
        <v>0.19457901234567795</v>
      </c>
      <c r="O40" s="18">
        <f>('BFI Scores'!T40-'BFI Scores'!E40)^2</f>
        <v>0.26780624999999986</v>
      </c>
      <c r="P40" s="18">
        <f>('BFI Scores'!U40-'BFI Scores'!F40)^2</f>
        <v>7.8400000000000136E-2</v>
      </c>
      <c r="Q40" s="18">
        <f>('BFI Scores'!V40-'BFI Scores'!B40)^2</f>
        <v>0.38440000000000013</v>
      </c>
      <c r="R40" s="18">
        <f>('BFI Scores'!W40-'BFI Scores'!C40)^2</f>
        <v>1.6612345679012732E-2</v>
      </c>
      <c r="S40" s="18">
        <f>('BFI Scores'!X40-'BFI Scores'!D40)^2</f>
        <v>0.19457901234567795</v>
      </c>
      <c r="T40" s="18">
        <f>('BFI Scores'!Y40-'BFI Scores'!E40)^2</f>
        <v>0.16402499999999984</v>
      </c>
      <c r="U40" s="18">
        <f>('BFI Scores'!Z40-'BFI Scores'!F40)^2</f>
        <v>7.2900000000000006E-2</v>
      </c>
      <c r="V40" s="18">
        <f>('BFI Scores'!AA40-'BFI Scores'!B40)^2</f>
        <v>0.33930625000000003</v>
      </c>
      <c r="W40" s="18">
        <f>('BFI Scores'!AB40-'BFI Scores'!C40)^2</f>
        <v>1.9600000000000159E-2</v>
      </c>
      <c r="X40" s="18">
        <f>('BFI Scores'!AC40-'BFI Scores'!D40)^2</f>
        <v>0.23576419753086891</v>
      </c>
      <c r="Y40" s="18">
        <f>('BFI Scores'!AD40-'BFI Scores'!E40)^2</f>
        <v>3.7056249999999957E-2</v>
      </c>
      <c r="Z40" s="18">
        <f>('BFI Scores'!AE40-'BFI Scores'!F40)^2</f>
        <v>0.21159999999999995</v>
      </c>
      <c r="AA40" s="20">
        <f t="shared" si="5"/>
        <v>0.16232729938271534</v>
      </c>
      <c r="AB40" s="20">
        <f t="shared" si="6"/>
        <v>0.10658135802469071</v>
      </c>
      <c r="AC40" s="20">
        <f t="shared" si="7"/>
        <v>0.12103830246913561</v>
      </c>
      <c r="AD40" s="20">
        <f t="shared" si="8"/>
        <v>0.16650327160493811</v>
      </c>
      <c r="AE40" s="20">
        <f t="shared" si="9"/>
        <v>0.16866533950617382</v>
      </c>
    </row>
    <row r="41" spans="1:31" x14ac:dyDescent="0.2">
      <c r="A41" s="17">
        <v>33285</v>
      </c>
      <c r="B41" s="18">
        <f>('BFI Scores'!G41-'BFI Scores'!B41)^2</f>
        <v>0.99002500000000027</v>
      </c>
      <c r="C41" s="18">
        <f>('BFI Scores'!H41-'BFI Scores'!C41)^2</f>
        <v>0.12880123456790199</v>
      </c>
      <c r="D41" s="18">
        <f>('BFI Scores'!I41-'BFI Scores'!D41)^2</f>
        <v>1.1401493827160532</v>
      </c>
      <c r="E41" s="18">
        <f>('BFI Scores'!J41-'BFI Scores'!E41)^2</f>
        <v>1.0100249999999997</v>
      </c>
      <c r="F41" s="18">
        <f>('BFI Scores'!K41-'BFI Scores'!F41)^2</f>
        <v>8.9999999999998827E-4</v>
      </c>
      <c r="G41" s="18">
        <f>('BFI Scores'!L41-'BFI Scores'!B41)^2</f>
        <v>0.96530624999999981</v>
      </c>
      <c r="H41" s="18">
        <f>('BFI Scores'!M41-'BFI Scores'!C41)^2</f>
        <v>0.11334444444444639</v>
      </c>
      <c r="I41" s="18">
        <f>('BFI Scores'!N41-'BFI Scores'!D41)^2</f>
        <v>1.4965444444444354</v>
      </c>
      <c r="J41" s="18">
        <f>('BFI Scores'!O41-'BFI Scores'!E41)^2</f>
        <v>1.3630562499999999</v>
      </c>
      <c r="K41" s="18">
        <f>('BFI Scores'!P41-'BFI Scores'!F41)^2</f>
        <v>0.23039999999999999</v>
      </c>
      <c r="L41" s="18">
        <f>('BFI Scores'!Q41-'BFI Scores'!B41)^2</f>
        <v>0.27040000000000003</v>
      </c>
      <c r="M41" s="18">
        <f>('BFI Scores'!R41-'BFI Scores'!C41)^2</f>
        <v>1.5764197530862882E-2</v>
      </c>
      <c r="N41" s="18">
        <f>('BFI Scores'!S41-'BFI Scores'!D41)^2</f>
        <v>1.9631123456790089</v>
      </c>
      <c r="O41" s="18">
        <f>('BFI Scores'!T41-'BFI Scores'!E41)^2</f>
        <v>1.1130249999999999</v>
      </c>
      <c r="P41" s="18">
        <f>('BFI Scores'!U41-'BFI Scores'!F41)^2</f>
        <v>1.1024999999999996</v>
      </c>
      <c r="Q41" s="18">
        <f>('BFI Scores'!V41-'BFI Scores'!B41)^2</f>
        <v>2.5043062500000013</v>
      </c>
      <c r="R41" s="18">
        <f>('BFI Scores'!W41-'BFI Scores'!C41)^2</f>
        <v>0.24228271604938065</v>
      </c>
      <c r="S41" s="18">
        <f>('BFI Scores'!X41-'BFI Scores'!D41)^2</f>
        <v>2.0896308641975421</v>
      </c>
      <c r="T41" s="18">
        <f>('BFI Scores'!Y41-'BFI Scores'!E41)^2</f>
        <v>1.0608999999999995</v>
      </c>
      <c r="U41" s="18">
        <f>('BFI Scores'!Z41-'BFI Scores'!F41)^2</f>
        <v>0.10890000000000005</v>
      </c>
      <c r="V41" s="18">
        <f>('BFI Scores'!AA41-'BFI Scores'!B41)^2</f>
        <v>2.5043062500000013</v>
      </c>
      <c r="W41" s="18">
        <f>('BFI Scores'!AB41-'BFI Scores'!C41)^2</f>
        <v>9.201111111110917E-2</v>
      </c>
      <c r="X41" s="18">
        <f>('BFI Scores'!AC41-'BFI Scores'!D41)^2</f>
        <v>1.6072604938271653</v>
      </c>
      <c r="Y41" s="18">
        <f>('BFI Scores'!AD41-'BFI Scores'!E41)^2</f>
        <v>1.08680625</v>
      </c>
      <c r="Z41" s="18">
        <f>('BFI Scores'!AE41-'BFI Scores'!F41)^2</f>
        <v>1.6900000000000089E-2</v>
      </c>
      <c r="AA41" s="20">
        <f t="shared" si="5"/>
        <v>0.65398012345679102</v>
      </c>
      <c r="AB41" s="20">
        <f t="shared" si="6"/>
        <v>0.83373027777777631</v>
      </c>
      <c r="AC41" s="20">
        <f t="shared" si="7"/>
        <v>0.89296030864197429</v>
      </c>
      <c r="AD41" s="20">
        <f t="shared" si="8"/>
        <v>1.2012039660493845</v>
      </c>
      <c r="AE41" s="20">
        <f t="shared" si="9"/>
        <v>1.0614568209876551</v>
      </c>
    </row>
    <row r="42" spans="1:31" x14ac:dyDescent="0.2">
      <c r="A42" s="17">
        <v>34695</v>
      </c>
      <c r="B42" s="18">
        <f>('BFI Scores'!G42-'BFI Scores'!B42)^2</f>
        <v>1.2488062499999995</v>
      </c>
      <c r="C42" s="18">
        <f>('BFI Scores'!H42-'BFI Scores'!C42)^2</f>
        <v>0.25</v>
      </c>
      <c r="D42" s="18">
        <f>('BFI Scores'!I42-'BFI Scores'!D42)^2</f>
        <v>0.79209999999999947</v>
      </c>
      <c r="E42" s="18">
        <f>('BFI Scores'!J42-'BFI Scores'!E42)^2</f>
        <v>2.06640625</v>
      </c>
      <c r="F42" s="18">
        <f>('BFI Scores'!K42-'BFI Scores'!F42)^2</f>
        <v>4.2024999999999997</v>
      </c>
      <c r="G42" s="18">
        <f>('BFI Scores'!L42-'BFI Scores'!B42)^2</f>
        <v>1.3053062500000001</v>
      </c>
      <c r="H42" s="18">
        <f>('BFI Scores'!M42-'BFI Scores'!C42)^2</f>
        <v>0.41530864197531597</v>
      </c>
      <c r="I42" s="18">
        <f>('BFI Scores'!N42-'BFI Scores'!D42)^2</f>
        <v>2.2200999999999995</v>
      </c>
      <c r="J42" s="18">
        <f>('BFI Scores'!O42-'BFI Scores'!E42)^2</f>
        <v>2.44140625</v>
      </c>
      <c r="K42" s="18">
        <f>('BFI Scores'!P42-'BFI Scores'!F42)^2</f>
        <v>4.3263999999999987</v>
      </c>
      <c r="L42" s="18">
        <f>('BFI Scores'!Q42-'BFI Scores'!B42)^2</f>
        <v>2.5360562499999992</v>
      </c>
      <c r="M42" s="18">
        <f>('BFI Scores'!R42-'BFI Scores'!C42)^2</f>
        <v>0.58777777777778317</v>
      </c>
      <c r="N42" s="18">
        <f>('BFI Scores'!S42-'BFI Scores'!D42)^2</f>
        <v>0.91521111111111686</v>
      </c>
      <c r="O42" s="18">
        <f>('BFI Scores'!T42-'BFI Scores'!E42)^2</f>
        <v>3.0625</v>
      </c>
      <c r="P42" s="18">
        <f>('BFI Scores'!U42-'BFI Scores'!F42)^2</f>
        <v>4.9729000000000001</v>
      </c>
      <c r="Q42" s="18">
        <f>('BFI Scores'!V42-'BFI Scores'!B42)^2</f>
        <v>0.57002499999999989</v>
      </c>
      <c r="R42" s="18">
        <f>('BFI Scores'!W42-'BFI Scores'!C42)^2</f>
        <v>0.29641975308642537</v>
      </c>
      <c r="S42" s="18">
        <f>('BFI Scores'!X42-'BFI Scores'!D42)^2</f>
        <v>0.93659382716049788</v>
      </c>
      <c r="T42" s="18">
        <f>('BFI Scores'!Y42-'BFI Scores'!E42)^2</f>
        <v>1.7889062499999997</v>
      </c>
      <c r="U42" s="18">
        <f>('BFI Scores'!Z42-'BFI Scores'!F42)^2</f>
        <v>3.0625</v>
      </c>
      <c r="V42" s="18">
        <f>('BFI Scores'!AA42-'BFI Scores'!B42)^2</f>
        <v>0.57002499999999989</v>
      </c>
      <c r="W42" s="18">
        <f>('BFI Scores'!AB42-'BFI Scores'!C42)^2</f>
        <v>0.34679012345679183</v>
      </c>
      <c r="X42" s="18">
        <f>('BFI Scores'!AC42-'BFI Scores'!D42)^2</f>
        <v>1.6355567901234593</v>
      </c>
      <c r="Y42" s="18">
        <f>('BFI Scores'!AD42-'BFI Scores'!E42)^2</f>
        <v>0.17015625000000006</v>
      </c>
      <c r="Z42" s="18">
        <f>('BFI Scores'!AE42-'BFI Scores'!F42)^2</f>
        <v>3.2760999999999987</v>
      </c>
      <c r="AA42" s="20">
        <f t="shared" si="5"/>
        <v>1.7119624999999998</v>
      </c>
      <c r="AB42" s="20">
        <f t="shared" si="6"/>
        <v>2.1417042283950627</v>
      </c>
      <c r="AC42" s="20">
        <f t="shared" si="7"/>
        <v>2.4148890277777797</v>
      </c>
      <c r="AD42" s="20">
        <f t="shared" si="8"/>
        <v>1.3308889660493846</v>
      </c>
      <c r="AE42" s="20">
        <f t="shared" si="9"/>
        <v>1.1997256327160499</v>
      </c>
    </row>
    <row r="43" spans="1:31" x14ac:dyDescent="0.2">
      <c r="A43" s="17">
        <v>35566</v>
      </c>
      <c r="B43" s="18">
        <f>('BFI Scores'!G43-'BFI Scores'!B43)^2</f>
        <v>0.17430625</v>
      </c>
      <c r="C43" s="18">
        <f>('BFI Scores'!H43-'BFI Scores'!C43)^2</f>
        <v>5.5419753086427825E-3</v>
      </c>
      <c r="D43" s="18">
        <f>('BFI Scores'!I43-'BFI Scores'!D43)^2</f>
        <v>1.3276160493827116</v>
      </c>
      <c r="E43" s="18">
        <f>('BFI Scores'!J43-'BFI Scores'!E43)^2</f>
        <v>2.0250000000000138E-3</v>
      </c>
      <c r="F43" s="18">
        <f>('BFI Scores'!K43-'BFI Scores'!F43)^2</f>
        <v>0.90249999999999952</v>
      </c>
      <c r="G43" s="18">
        <f>('BFI Scores'!L43-'BFI Scores'!B43)^2</f>
        <v>0.11730624999999986</v>
      </c>
      <c r="H43" s="18">
        <f>('BFI Scores'!M43-'BFI Scores'!C43)^2</f>
        <v>0.13201111111110883</v>
      </c>
      <c r="I43" s="18">
        <f>('BFI Scores'!N43-'BFI Scores'!D43)^2</f>
        <v>1.4320111111111189</v>
      </c>
      <c r="J43" s="18">
        <f>('BFI Scores'!O43-'BFI Scores'!E43)^2</f>
        <v>3.0624999999999473E-4</v>
      </c>
      <c r="K43" s="18">
        <f>('BFI Scores'!P43-'BFI Scores'!F43)^2</f>
        <v>1.2543999999999993</v>
      </c>
      <c r="L43" s="18">
        <f>('BFI Scores'!Q43-'BFI Scores'!B43)^2</f>
        <v>0.53289999999999993</v>
      </c>
      <c r="M43" s="18">
        <f>('BFI Scores'!R43-'BFI Scores'!C43)^2</f>
        <v>1.4055419753086529</v>
      </c>
      <c r="N43" s="18">
        <f>('BFI Scores'!S43-'BFI Scores'!D43)^2</f>
        <v>1.710282716049389</v>
      </c>
      <c r="O43" s="18">
        <f>('BFI Scores'!T43-'BFI Scores'!E43)^2</f>
        <v>4.0000000000000072E-4</v>
      </c>
      <c r="P43" s="18">
        <f>('BFI Scores'!U43-'BFI Scores'!F43)^2</f>
        <v>2.5280999999999993</v>
      </c>
      <c r="Q43" s="18">
        <f>('BFI Scores'!V43-'BFI Scores'!B43)^2</f>
        <v>7.1556250000000043E-2</v>
      </c>
      <c r="R43" s="18">
        <f>('BFI Scores'!W43-'BFI Scores'!C43)^2</f>
        <v>5.2900000000000197E-2</v>
      </c>
      <c r="S43" s="18">
        <f>('BFI Scores'!X43-'BFI Scores'!D43)^2</f>
        <v>1.8890975308641851</v>
      </c>
      <c r="T43" s="18">
        <f>('BFI Scores'!Y43-'BFI Scores'!E43)^2</f>
        <v>0.12780624999999995</v>
      </c>
      <c r="U43" s="18">
        <f>('BFI Scores'!Z43-'BFI Scores'!F43)^2</f>
        <v>1.0404</v>
      </c>
      <c r="V43" s="18">
        <f>('BFI Scores'!AA43-'BFI Scores'!B43)^2</f>
        <v>9.302499999999983E-2</v>
      </c>
      <c r="W43" s="18">
        <f>('BFI Scores'!AB43-'BFI Scores'!C43)^2</f>
        <v>0.39689999999999986</v>
      </c>
      <c r="X43" s="18">
        <f>('BFI Scores'!AC43-'BFI Scores'!D43)^2</f>
        <v>3.8677777777779039E-2</v>
      </c>
      <c r="Y43" s="18">
        <f>('BFI Scores'!AD43-'BFI Scores'!E43)^2</f>
        <v>0.38440000000000013</v>
      </c>
      <c r="Z43" s="18">
        <f>('BFI Scores'!AE43-'BFI Scores'!F43)^2</f>
        <v>2.7224999999999997</v>
      </c>
      <c r="AA43" s="20">
        <f t="shared" si="5"/>
        <v>0.48239785493827075</v>
      </c>
      <c r="AB43" s="20">
        <f t="shared" si="6"/>
        <v>0.58720694444444543</v>
      </c>
      <c r="AC43" s="20">
        <f t="shared" si="7"/>
        <v>1.2354449382716082</v>
      </c>
      <c r="AD43" s="20">
        <f t="shared" si="8"/>
        <v>0.63635200617283705</v>
      </c>
      <c r="AE43" s="20">
        <f t="shared" si="9"/>
        <v>0.72710055555555575</v>
      </c>
    </row>
    <row r="44" spans="1:31" x14ac:dyDescent="0.2">
      <c r="A44" s="17">
        <v>37274</v>
      </c>
      <c r="B44" s="18">
        <f>('BFI Scores'!G44-'BFI Scores'!B44)^2</f>
        <v>1.0000000000000018E-2</v>
      </c>
      <c r="C44" s="18">
        <f>('BFI Scores'!H44-'BFI Scores'!C44)^2</f>
        <v>0.36401111111110701</v>
      </c>
      <c r="D44" s="18">
        <f>('BFI Scores'!I44-'BFI Scores'!D44)^2</f>
        <v>0.37617777777777334</v>
      </c>
      <c r="E44" s="18">
        <f>('BFI Scores'!J44-'BFI Scores'!E44)^2</f>
        <v>0.59290000000000076</v>
      </c>
      <c r="F44" s="18">
        <f>('BFI Scores'!K44-'BFI Scores'!F44)^2</f>
        <v>1.904400000000001</v>
      </c>
      <c r="G44" s="18">
        <f>('BFI Scores'!L44-'BFI Scores'!B44)^2</f>
        <v>2.2499999999999975E-2</v>
      </c>
      <c r="H44" s="18">
        <f>('BFI Scores'!M44-'BFI Scores'!C44)^2</f>
        <v>0.36401111111110701</v>
      </c>
      <c r="I44" s="18">
        <f>('BFI Scores'!N44-'BFI Scores'!D44)^2</f>
        <v>0.48689382716049728</v>
      </c>
      <c r="J44" s="18">
        <f>('BFI Scores'!O44-'BFI Scores'!E44)^2</f>
        <v>0.55502500000000021</v>
      </c>
      <c r="K44" s="18">
        <f>('BFI Scores'!P44-'BFI Scores'!F44)^2</f>
        <v>1.8769000000000002</v>
      </c>
      <c r="L44" s="18">
        <f>('BFI Scores'!Q44-'BFI Scores'!B44)^2</f>
        <v>1.2656249999999959E-2</v>
      </c>
      <c r="M44" s="18">
        <f>('BFI Scores'!R44-'BFI Scores'!C44)^2</f>
        <v>0.36401111111110701</v>
      </c>
      <c r="N44" s="18">
        <f>('BFI Scores'!S44-'BFI Scores'!D44)^2</f>
        <v>0.18970864197531226</v>
      </c>
      <c r="O44" s="18">
        <f>('BFI Scores'!T44-'BFI Scores'!E44)^2</f>
        <v>0.67240000000000044</v>
      </c>
      <c r="P44" s="18">
        <f>('BFI Scores'!U44-'BFI Scores'!F44)^2</f>
        <v>1.6384000000000007</v>
      </c>
      <c r="Q44" s="18">
        <f>('BFI Scores'!V44-'BFI Scores'!B44)^2</f>
        <v>0.3600000000000001</v>
      </c>
      <c r="R44" s="18">
        <f>('BFI Scores'!W44-'BFI Scores'!C44)^2</f>
        <v>0.7763567901234546</v>
      </c>
      <c r="S44" s="18">
        <f>('BFI Scores'!X44-'BFI Scores'!D44)^2</f>
        <v>0.46239999999999959</v>
      </c>
      <c r="T44" s="18">
        <f>('BFI Scores'!Y44-'BFI Scores'!E44)^2</f>
        <v>0.55502500000000021</v>
      </c>
      <c r="U44" s="18">
        <f>('BFI Scores'!Z44-'BFI Scores'!F44)^2</f>
        <v>2.5921000000000012</v>
      </c>
      <c r="V44" s="18">
        <f>('BFI Scores'!AA44-'BFI Scores'!B44)^2</f>
        <v>0.66015625</v>
      </c>
      <c r="W44" s="18">
        <f>('BFI Scores'!AB44-'BFI Scores'!C44)^2</f>
        <v>0.64534444444443895</v>
      </c>
      <c r="X44" s="18">
        <f>('BFI Scores'!AC44-'BFI Scores'!D44)^2</f>
        <v>0.27504197530864738</v>
      </c>
      <c r="Y44" s="18">
        <f>('BFI Scores'!AD44-'BFI Scores'!E44)^2</f>
        <v>0.73530624999999983</v>
      </c>
      <c r="Z44" s="18">
        <f>('BFI Scores'!AE44-'BFI Scores'!F44)^2</f>
        <v>1.1664000000000001</v>
      </c>
      <c r="AA44" s="20">
        <f t="shared" si="5"/>
        <v>0.6494977777777764</v>
      </c>
      <c r="AB44" s="20">
        <f t="shared" si="6"/>
        <v>0.66106598765432101</v>
      </c>
      <c r="AC44" s="20">
        <f t="shared" si="7"/>
        <v>0.57543520061728404</v>
      </c>
      <c r="AD44" s="20">
        <f t="shared" si="8"/>
        <v>0.94917635802469102</v>
      </c>
      <c r="AE44" s="20">
        <f t="shared" si="9"/>
        <v>0.6964497839506173</v>
      </c>
    </row>
    <row r="45" spans="1:31" x14ac:dyDescent="0.2">
      <c r="A45" s="17">
        <v>37904</v>
      </c>
      <c r="B45" s="18">
        <f>('BFI Scores'!G45-'BFI Scores'!B45)^2</f>
        <v>2.640625000000003E-2</v>
      </c>
      <c r="C45" s="18">
        <f>('BFI Scores'!H45-'BFI Scores'!C45)^2</f>
        <v>2.6316049382715343E-2</v>
      </c>
      <c r="D45" s="18">
        <f>('BFI Scores'!I45-'BFI Scores'!D45)^2</f>
        <v>0.47609999999999991</v>
      </c>
      <c r="E45" s="18">
        <f>('BFI Scores'!J45-'BFI Scores'!E45)^2</f>
        <v>0.80999999999999983</v>
      </c>
      <c r="F45" s="18">
        <f>('BFI Scores'!K45-'BFI Scores'!F45)^2</f>
        <v>0.51839999999999964</v>
      </c>
      <c r="G45" s="18">
        <f>('BFI Scores'!L45-'BFI Scores'!B45)^2</f>
        <v>5.6250000000000267E-3</v>
      </c>
      <c r="H45" s="18">
        <f>('BFI Scores'!M45-'BFI Scores'!C45)^2</f>
        <v>9.1308641975316827E-3</v>
      </c>
      <c r="I45" s="18">
        <f>('BFI Scores'!N45-'BFI Scores'!D45)^2</f>
        <v>3.2040999999999999</v>
      </c>
      <c r="J45" s="18">
        <f>('BFI Scores'!O45-'BFI Scores'!E45)^2</f>
        <v>0.7014062499999999</v>
      </c>
      <c r="K45" s="18">
        <f>('BFI Scores'!P45-'BFI Scores'!F45)^2</f>
        <v>0.65610000000000013</v>
      </c>
      <c r="L45" s="18">
        <f>('BFI Scores'!Q45-'BFI Scores'!B45)^2</f>
        <v>0.83265625000000021</v>
      </c>
      <c r="M45" s="18">
        <f>('BFI Scores'!R45-'BFI Scores'!C45)^2</f>
        <v>0.22194567901234477</v>
      </c>
      <c r="N45" s="18">
        <f>('BFI Scores'!S45-'BFI Scores'!D45)^2</f>
        <v>3.7851864197531042</v>
      </c>
      <c r="O45" s="18">
        <f>('BFI Scores'!T45-'BFI Scores'!E45)^2</f>
        <v>0.60062499999999985</v>
      </c>
      <c r="P45" s="18">
        <f>('BFI Scores'!U45-'BFI Scores'!F45)^2</f>
        <v>0.72250000000000014</v>
      </c>
      <c r="Q45" s="18">
        <f>('BFI Scores'!V45-'BFI Scores'!B45)^2</f>
        <v>0.63999999999999968</v>
      </c>
      <c r="R45" s="18">
        <f>('BFI Scores'!W45-'BFI Scores'!C45)^2</f>
        <v>0.12327901234567826</v>
      </c>
      <c r="S45" s="18">
        <f>('BFI Scores'!X45-'BFI Scores'!D45)^2</f>
        <v>2.457927160493834</v>
      </c>
      <c r="T45" s="18">
        <f>('BFI Scores'!Y45-'BFI Scores'!E45)^2</f>
        <v>0.85562500000000008</v>
      </c>
      <c r="U45" s="18">
        <f>('BFI Scores'!Z45-'BFI Scores'!F45)^2</f>
        <v>0.59289999999999998</v>
      </c>
      <c r="V45" s="18">
        <f>('BFI Scores'!AA45-'BFI Scores'!B45)^2</f>
        <v>0.52562500000000012</v>
      </c>
      <c r="W45" s="18">
        <f>('BFI Scores'!AB45-'BFI Scores'!C45)^2</f>
        <v>0.18204444444444717</v>
      </c>
      <c r="X45" s="18">
        <f>('BFI Scores'!AC45-'BFI Scores'!D45)^2</f>
        <v>3.2841493827160413</v>
      </c>
      <c r="Y45" s="18">
        <f>('BFI Scores'!AD45-'BFI Scores'!E45)^2</f>
        <v>0.72250000000000014</v>
      </c>
      <c r="Z45" s="18">
        <f>('BFI Scores'!AE45-'BFI Scores'!F45)^2</f>
        <v>0.28089999999999982</v>
      </c>
      <c r="AA45" s="20">
        <f t="shared" si="5"/>
        <v>0.37144445987654295</v>
      </c>
      <c r="AB45" s="20">
        <f t="shared" si="6"/>
        <v>0.91527242283950638</v>
      </c>
      <c r="AC45" s="20">
        <f t="shared" si="7"/>
        <v>1.2325826697530897</v>
      </c>
      <c r="AD45" s="20">
        <f t="shared" si="8"/>
        <v>0.93394623456790238</v>
      </c>
      <c r="AE45" s="20">
        <f t="shared" si="9"/>
        <v>0.99904376543209783</v>
      </c>
    </row>
    <row r="46" spans="1:31" x14ac:dyDescent="0.2">
      <c r="A46" s="17">
        <v>39627</v>
      </c>
      <c r="B46" s="18">
        <f>('BFI Scores'!G46-'BFI Scores'!B46)^2</f>
        <v>0.3249000000000003</v>
      </c>
      <c r="C46" s="18">
        <f>('BFI Scores'!H46-'BFI Scores'!C46)^2</f>
        <v>7.901234567901495E-3</v>
      </c>
      <c r="D46" s="18">
        <f>('BFI Scores'!I46-'BFI Scores'!D46)^2</f>
        <v>0.52000123456789915</v>
      </c>
      <c r="E46" s="18">
        <f>('BFI Scores'!J46-'BFI Scores'!E46)^2</f>
        <v>9.2264062500000001</v>
      </c>
      <c r="F46" s="18">
        <f>('BFI Scores'!K46-'BFI Scores'!F46)^2</f>
        <v>0.37209999999999988</v>
      </c>
      <c r="G46" s="18">
        <f>('BFI Scores'!L46-'BFI Scores'!B46)^2</f>
        <v>9.4556250000000064E-2</v>
      </c>
      <c r="H46" s="18">
        <f>('BFI Scores'!M46-'BFI Scores'!C46)^2</f>
        <v>9.9999999999999291E-3</v>
      </c>
      <c r="I46" s="18">
        <f>('BFI Scores'!N46-'BFI Scores'!D46)^2</f>
        <v>0.30740864197530382</v>
      </c>
      <c r="J46" s="18">
        <f>('BFI Scores'!O46-'BFI Scores'!E46)^2</f>
        <v>9.2264062500000001</v>
      </c>
      <c r="K46" s="18">
        <f>('BFI Scores'!P46-'BFI Scores'!F46)^2</f>
        <v>0.54760000000000031</v>
      </c>
      <c r="L46" s="18">
        <f>('BFI Scores'!Q46-'BFI Scores'!B46)^2</f>
        <v>6.4000000000000116E-3</v>
      </c>
      <c r="M46" s="18">
        <f>('BFI Scores'!R46-'BFI Scores'!C46)^2</f>
        <v>1.2345679012343617E-4</v>
      </c>
      <c r="N46" s="18">
        <f>('BFI Scores'!S46-'BFI Scores'!D46)^2</f>
        <v>0.8690382716049343</v>
      </c>
      <c r="O46" s="18">
        <f>('BFI Scores'!T46-'BFI Scores'!E46)^2</f>
        <v>8.1939062499999995</v>
      </c>
      <c r="P46" s="18">
        <f>('BFI Scores'!U46-'BFI Scores'!F46)^2</f>
        <v>0.98010000000000042</v>
      </c>
      <c r="Q46" s="18">
        <f>('BFI Scores'!V46-'BFI Scores'!B46)^2</f>
        <v>2.2350250000000003</v>
      </c>
      <c r="R46" s="18">
        <f>('BFI Scores'!W46-'BFI Scores'!C46)^2</f>
        <v>4.4444444444448868E-3</v>
      </c>
      <c r="S46" s="18">
        <f>('BFI Scores'!X46-'BFI Scores'!D46)^2</f>
        <v>4.4567901234563085E-4</v>
      </c>
      <c r="T46" s="18">
        <f>('BFI Scores'!Y46-'BFI Scores'!E46)^2</f>
        <v>8.5556249999999991</v>
      </c>
      <c r="U46" s="18">
        <f>('BFI Scores'!Z46-'BFI Scores'!F46)^2</f>
        <v>0.30250000000000027</v>
      </c>
      <c r="V46" s="18">
        <f>('BFI Scores'!AA46-'BFI Scores'!B46)^2</f>
        <v>3.404024999999999</v>
      </c>
      <c r="W46" s="18">
        <f>('BFI Scores'!AB46-'BFI Scores'!C46)^2</f>
        <v>1.0000000000000018E-2</v>
      </c>
      <c r="X46" s="18">
        <f>('BFI Scores'!AC46-'BFI Scores'!D46)^2</f>
        <v>0.34810000000000035</v>
      </c>
      <c r="Y46" s="18">
        <f>('BFI Scores'!AD46-'BFI Scores'!E46)^2</f>
        <v>7.91015625</v>
      </c>
      <c r="Z46" s="18">
        <f>('BFI Scores'!AE46-'BFI Scores'!F46)^2</f>
        <v>0.40960000000000019</v>
      </c>
      <c r="AA46" s="20">
        <f t="shared" si="5"/>
        <v>2.0902617438271602</v>
      </c>
      <c r="AB46" s="20">
        <f t="shared" si="6"/>
        <v>2.037194228395061</v>
      </c>
      <c r="AC46" s="20">
        <f t="shared" si="7"/>
        <v>2.0099135956790115</v>
      </c>
      <c r="AD46" s="20">
        <f t="shared" si="8"/>
        <v>2.2196080246913579</v>
      </c>
      <c r="AE46" s="20">
        <f t="shared" si="9"/>
        <v>2.4163762499999999</v>
      </c>
    </row>
    <row r="47" spans="1:31" x14ac:dyDescent="0.2">
      <c r="A47" s="17">
        <v>40103</v>
      </c>
      <c r="B47" s="18">
        <f>('BFI Scores'!G47-'BFI Scores'!B47)^2</f>
        <v>0.87890625</v>
      </c>
      <c r="C47" s="18">
        <f>('BFI Scores'!H47-'BFI Scores'!C47)^2</f>
        <v>0.19951111111111397</v>
      </c>
      <c r="D47" s="18">
        <f>('BFI Scores'!I47-'BFI Scores'!D47)^2</f>
        <v>1.8952111111111216</v>
      </c>
      <c r="E47" s="18">
        <f>('BFI Scores'!J47-'BFI Scores'!E47)^2</f>
        <v>3.90625E-3</v>
      </c>
      <c r="F47" s="18">
        <f>('BFI Scores'!K47-'BFI Scores'!F47)^2</f>
        <v>4.243599999999998</v>
      </c>
      <c r="G47" s="18">
        <f>('BFI Scores'!L47-'BFI Scores'!B47)^2</f>
        <v>1.9599999999999997</v>
      </c>
      <c r="H47" s="18">
        <f>('BFI Scores'!M47-'BFI Scores'!C47)^2</f>
        <v>8.4745679012345282E-2</v>
      </c>
      <c r="I47" s="18">
        <f>('BFI Scores'!N47-'BFI Scores'!D47)^2</f>
        <v>1.384544444444453</v>
      </c>
      <c r="J47" s="18">
        <f>('BFI Scores'!O47-'BFI Scores'!E47)^2</f>
        <v>0.19140625</v>
      </c>
      <c r="K47" s="18">
        <f>('BFI Scores'!P47-'BFI Scores'!F47)^2</f>
        <v>4.2848999999999995</v>
      </c>
      <c r="L47" s="18">
        <f>('BFI Scores'!Q47-'BFI Scores'!B47)^2</f>
        <v>4.515625</v>
      </c>
      <c r="M47" s="18">
        <f>('BFI Scores'!R47-'BFI Scores'!C47)^2</f>
        <v>1.2641975308638348E-3</v>
      </c>
      <c r="N47" s="18">
        <f>('BFI Scores'!S47-'BFI Scores'!D47)^2</f>
        <v>1.6583716049382777</v>
      </c>
      <c r="O47" s="18">
        <f>('BFI Scores'!T47-'BFI Scores'!E47)^2</f>
        <v>0.33062500000000022</v>
      </c>
      <c r="P47" s="18">
        <f>('BFI Scores'!U47-'BFI Scores'!F47)^2</f>
        <v>4.0803999999999983</v>
      </c>
      <c r="Q47" s="18">
        <f>('BFI Scores'!V47-'BFI Scores'!B47)^2</f>
        <v>0.25</v>
      </c>
      <c r="R47" s="18">
        <f>('BFI Scores'!W47-'BFI Scores'!C47)^2</f>
        <v>8.4745679012345282E-2</v>
      </c>
      <c r="S47" s="18">
        <f>('BFI Scores'!X47-'BFI Scores'!D47)^2</f>
        <v>2.2134827160493904</v>
      </c>
      <c r="T47" s="18">
        <f>('BFI Scores'!Y47-'BFI Scores'!E47)^2</f>
        <v>0.140625</v>
      </c>
      <c r="U47" s="18">
        <f>('BFI Scores'!Z47-'BFI Scores'!F47)^2</f>
        <v>3.3123999999999993</v>
      </c>
      <c r="V47" s="18">
        <f>('BFI Scores'!AA47-'BFI Scores'!B47)^2</f>
        <v>0.11390624999999995</v>
      </c>
      <c r="W47" s="18">
        <f>('BFI Scores'!AB47-'BFI Scores'!C47)^2</f>
        <v>4.9382716049279734E-6</v>
      </c>
      <c r="X47" s="18">
        <f>('BFI Scores'!AC47-'BFI Scores'!D47)^2</f>
        <v>1.6016308641975427</v>
      </c>
      <c r="Y47" s="18">
        <f>('BFI Scores'!AD47-'BFI Scores'!E47)^2</f>
        <v>0.37515625000000008</v>
      </c>
      <c r="Z47" s="18">
        <f>('BFI Scores'!AE47-'BFI Scores'!F47)^2</f>
        <v>3.1328999999999985</v>
      </c>
      <c r="AA47" s="20">
        <f t="shared" si="5"/>
        <v>1.4442269444444467</v>
      </c>
      <c r="AB47" s="20">
        <f t="shared" si="6"/>
        <v>1.5811192746913594</v>
      </c>
      <c r="AC47" s="20">
        <f t="shared" si="7"/>
        <v>2.1172571604938279</v>
      </c>
      <c r="AD47" s="20">
        <f t="shared" si="8"/>
        <v>1.2002506790123468</v>
      </c>
      <c r="AE47" s="20">
        <f t="shared" si="9"/>
        <v>1.0447196604938291</v>
      </c>
    </row>
    <row r="48" spans="1:31" x14ac:dyDescent="0.2">
      <c r="A48" s="17">
        <v>43150</v>
      </c>
      <c r="B48" s="18">
        <f>('BFI Scores'!G48-'BFI Scores'!B48)^2</f>
        <v>1.3340249999999996</v>
      </c>
      <c r="C48" s="18">
        <f>('BFI Scores'!H48-'BFI Scores'!C48)^2</f>
        <v>2.1380938271604881</v>
      </c>
      <c r="D48" s="18">
        <f>('BFI Scores'!I48-'BFI Scores'!D48)^2</f>
        <v>5.6538271604938375</v>
      </c>
      <c r="E48" s="18">
        <f>('BFI Scores'!J48-'BFI Scores'!E48)^2</f>
        <v>0.40640625000000025</v>
      </c>
      <c r="F48" s="18">
        <f>('BFI Scores'!K48-'BFI Scores'!F48)^2</f>
        <v>3.9203999999999999</v>
      </c>
      <c r="G48" s="18">
        <f>('BFI Scores'!L48-'BFI Scores'!B48)^2</f>
        <v>1.7030249999999993</v>
      </c>
      <c r="H48" s="18">
        <f>('BFI Scores'!M48-'BFI Scores'!C48)^2</f>
        <v>1.4293530864197646</v>
      </c>
      <c r="I48" s="18">
        <f>('BFI Scores'!N48-'BFI Scores'!D48)^2</f>
        <v>7.839999999999999</v>
      </c>
      <c r="J48" s="18">
        <f>('BFI Scores'!O48-'BFI Scores'!E48)^2</f>
        <v>5.6406249999999915E-2</v>
      </c>
      <c r="K48" s="18">
        <f>('BFI Scores'!P48-'BFI Scores'!F48)^2</f>
        <v>4.4520999999999997</v>
      </c>
      <c r="L48" s="18">
        <f>('BFI Scores'!Q48-'BFI Scores'!B48)^2</f>
        <v>1.5438062499999994</v>
      </c>
      <c r="M48" s="18">
        <f>('BFI Scores'!R48-'BFI Scores'!C48)^2</f>
        <v>3.4266123456790099</v>
      </c>
      <c r="N48" s="18">
        <f>('BFI Scores'!S48-'BFI Scores'!D48)^2</f>
        <v>8.1541975308642236</v>
      </c>
      <c r="O48" s="18">
        <f>('BFI Scores'!T48-'BFI Scores'!E48)^2</f>
        <v>0.390625</v>
      </c>
      <c r="P48" s="18">
        <f>('BFI Scores'!U48-'BFI Scores'!F48)^2</f>
        <v>4.4099999999999984</v>
      </c>
      <c r="Q48" s="18">
        <f>('BFI Scores'!V48-'BFI Scores'!B48)^2</f>
        <v>1.2768999999999997</v>
      </c>
      <c r="R48" s="18">
        <f>('BFI Scores'!W48-'BFI Scores'!C48)^2</f>
        <v>3.7636000000000016</v>
      </c>
      <c r="S48" s="18">
        <f>('BFI Scores'!X48-'BFI Scores'!D48)^2</f>
        <v>7.6544444444444641</v>
      </c>
      <c r="T48" s="18">
        <f>('BFI Scores'!Y48-'BFI Scores'!E48)^2</f>
        <v>6.25E-2</v>
      </c>
      <c r="U48" s="18">
        <f>('BFI Scores'!Z48-'BFI Scores'!F48)^2</f>
        <v>2.5280999999999993</v>
      </c>
      <c r="V48" s="18">
        <f>('BFI Scores'!AA48-'BFI Scores'!B48)^2</f>
        <v>0.84180624999999998</v>
      </c>
      <c r="W48" s="18">
        <f>('BFI Scores'!AB48-'BFI Scores'!C48)^2</f>
        <v>2.653279012345684</v>
      </c>
      <c r="X48" s="18">
        <f>('BFI Scores'!AC48-'BFI Scores'!D48)^2</f>
        <v>3.9116049382716138</v>
      </c>
      <c r="Y48" s="18">
        <f>('BFI Scores'!AD48-'BFI Scores'!E48)^2</f>
        <v>0.3751562499999998</v>
      </c>
      <c r="Z48" s="18">
        <f>('BFI Scores'!AE48-'BFI Scores'!F48)^2</f>
        <v>1.2995999999999992</v>
      </c>
      <c r="AA48" s="20">
        <f t="shared" si="5"/>
        <v>2.6905504475308653</v>
      </c>
      <c r="AB48" s="20">
        <f t="shared" si="6"/>
        <v>3.0961768672839525</v>
      </c>
      <c r="AC48" s="20">
        <f t="shared" si="7"/>
        <v>3.585048225308646</v>
      </c>
      <c r="AD48" s="20">
        <f t="shared" si="8"/>
        <v>3.0571088888888931</v>
      </c>
      <c r="AE48" s="20">
        <f t="shared" si="9"/>
        <v>1.8162892901234595</v>
      </c>
    </row>
    <row r="49" spans="1:31" x14ac:dyDescent="0.2">
      <c r="A49" s="17">
        <v>43972</v>
      </c>
      <c r="B49" s="18">
        <f>('BFI Scores'!G49-'BFI Scores'!B49)^2</f>
        <v>1.2488062499999995</v>
      </c>
      <c r="C49" s="18">
        <f>('BFI Scores'!H49-'BFI Scores'!C49)^2</f>
        <v>0.16357530864197975</v>
      </c>
      <c r="D49" s="18">
        <f>('BFI Scores'!I49-'BFI Scores'!D49)^2</f>
        <v>0.47917160493826833</v>
      </c>
      <c r="E49" s="18">
        <f>('BFI Scores'!J49-'BFI Scores'!E49)^2</f>
        <v>0.52562500000000012</v>
      </c>
      <c r="F49" s="18">
        <f>('BFI Scores'!K49-'BFI Scores'!F49)^2</f>
        <v>0.29160000000000003</v>
      </c>
      <c r="G49" s="18">
        <f>('BFI Scores'!L49-'BFI Scores'!B49)^2</f>
        <v>2.6978062500000002</v>
      </c>
      <c r="H49" s="18">
        <f>('BFI Scores'!M49-'BFI Scores'!C49)^2</f>
        <v>2.6123456790122543E-3</v>
      </c>
      <c r="I49" s="18">
        <f>('BFI Scores'!N49-'BFI Scores'!D49)^2</f>
        <v>0.66331975308641233</v>
      </c>
      <c r="J49" s="18">
        <f>('BFI Scores'!O49-'BFI Scores'!E49)^2</f>
        <v>0.5625</v>
      </c>
      <c r="K49" s="18">
        <f>('BFI Scores'!P49-'BFI Scores'!F49)^2</f>
        <v>0.53289999999999993</v>
      </c>
      <c r="L49" s="18">
        <f>('BFI Scores'!Q49-'BFI Scores'!B49)^2</f>
        <v>1.6383999999999994</v>
      </c>
      <c r="M49" s="18">
        <f>('BFI Scores'!R49-'BFI Scores'!C49)^2</f>
        <v>8.0908641975312209E-2</v>
      </c>
      <c r="N49" s="18">
        <f>('BFI Scores'!S49-'BFI Scores'!D49)^2</f>
        <v>2.361344444444454</v>
      </c>
      <c r="O49" s="18">
        <f>('BFI Scores'!T49-'BFI Scores'!E49)^2</f>
        <v>1.8906249999999989E-2</v>
      </c>
      <c r="P49" s="18">
        <f>('BFI Scores'!U49-'BFI Scores'!F49)^2</f>
        <v>0.47609999999999991</v>
      </c>
      <c r="Q49" s="18">
        <f>('BFI Scores'!V49-'BFI Scores'!B49)^2</f>
        <v>1.2768999999999997</v>
      </c>
      <c r="R49" s="18">
        <f>('BFI Scores'!W49-'BFI Scores'!C49)^2</f>
        <v>4.1797530864199704E-2</v>
      </c>
      <c r="S49" s="18">
        <f>('BFI Scores'!X49-'BFI Scores'!D49)^2</f>
        <v>1.1212456790123482</v>
      </c>
      <c r="T49" s="18">
        <f>('BFI Scores'!Y49-'BFI Scores'!E49)^2</f>
        <v>9.0000000000000024E-2</v>
      </c>
      <c r="U49" s="18">
        <f>('BFI Scores'!Z49-'BFI Scores'!F49)^2</f>
        <v>0.14439999999999992</v>
      </c>
      <c r="V49" s="18">
        <f>('BFI Scores'!AA49-'BFI Scores'!B49)^2</f>
        <v>2.0093062499999998</v>
      </c>
      <c r="W49" s="18">
        <f>('BFI Scores'!AB49-'BFI Scores'!C49)^2</f>
        <v>1.1377777777778493E-2</v>
      </c>
      <c r="X49" s="18">
        <f>('BFI Scores'!AC49-'BFI Scores'!D49)^2</f>
        <v>0.3249000000000003</v>
      </c>
      <c r="Y49" s="18">
        <f>('BFI Scores'!AD49-'BFI Scores'!E49)^2</f>
        <v>2.640625000000003E-2</v>
      </c>
      <c r="Z49" s="18">
        <f>('BFI Scores'!AE49-'BFI Scores'!F49)^2</f>
        <v>0.27040000000000003</v>
      </c>
      <c r="AA49" s="20">
        <f t="shared" si="5"/>
        <v>0.54175563271604954</v>
      </c>
      <c r="AB49" s="20">
        <f t="shared" si="6"/>
        <v>0.89182766975308492</v>
      </c>
      <c r="AC49" s="20">
        <f t="shared" si="7"/>
        <v>0.91513186728395302</v>
      </c>
      <c r="AD49" s="20">
        <f t="shared" si="8"/>
        <v>0.53486864197530948</v>
      </c>
      <c r="AE49" s="20">
        <f t="shared" si="9"/>
        <v>0.52847805555555571</v>
      </c>
    </row>
    <row r="50" spans="1:31" x14ac:dyDescent="0.2">
      <c r="A50" s="17">
        <v>44375</v>
      </c>
      <c r="B50" s="18">
        <f>('BFI Scores'!G50-'BFI Scores'!B50)^2</f>
        <v>2.640625000000003E-2</v>
      </c>
      <c r="C50" s="18">
        <f>('BFI Scores'!H50-'BFI Scores'!C50)^2</f>
        <v>6.9344444444442738E-2</v>
      </c>
      <c r="D50" s="18">
        <f>('BFI Scores'!I50-'BFI Scores'!D50)^2</f>
        <v>4.41</v>
      </c>
      <c r="E50" s="18">
        <f>('BFI Scores'!J50-'BFI Scores'!E50)^2</f>
        <v>0.40640625000000025</v>
      </c>
      <c r="F50" s="18">
        <f>('BFI Scores'!K50-'BFI Scores'!F50)^2</f>
        <v>3.0625</v>
      </c>
      <c r="G50" s="18">
        <f>('BFI Scores'!L50-'BFI Scores'!B50)^2</f>
        <v>0.19140625</v>
      </c>
      <c r="H50" s="18">
        <f>('BFI Scores'!M50-'BFI Scores'!C50)^2</f>
        <v>8.154197530864464E-2</v>
      </c>
      <c r="I50" s="18">
        <f>('BFI Scores'!N50-'BFI Scores'!D50)^2</f>
        <v>6.8760493827160376</v>
      </c>
      <c r="J50" s="18">
        <f>('BFI Scores'!O50-'BFI Scores'!E50)^2</f>
        <v>1.265625000000001E-2</v>
      </c>
      <c r="K50" s="18">
        <f>('BFI Scores'!P50-'BFI Scores'!F50)^2</f>
        <v>2.9929000000000001</v>
      </c>
      <c r="L50" s="18">
        <f>('BFI Scores'!Q50-'BFI Scores'!B50)^2</f>
        <v>1.72265625</v>
      </c>
      <c r="M50" s="18">
        <f>('BFI Scores'!R50-'BFI Scores'!C50)^2</f>
        <v>0.27620864197531286</v>
      </c>
      <c r="N50" s="18">
        <f>('BFI Scores'!S50-'BFI Scores'!D50)^2</f>
        <v>5.4444444444444287</v>
      </c>
      <c r="O50" s="18">
        <f>('BFI Scores'!T50-'BFI Scores'!E50)^2</f>
        <v>0.19140625</v>
      </c>
      <c r="P50" s="18">
        <f>('BFI Scores'!U50-'BFI Scores'!F50)^2</f>
        <v>5.6169000000000002</v>
      </c>
      <c r="Q50" s="18">
        <f>('BFI Scores'!V50-'BFI Scores'!B50)^2</f>
        <v>6.25E-2</v>
      </c>
      <c r="R50" s="18">
        <f>('BFI Scores'!W50-'BFI Scores'!C50)^2</f>
        <v>9.4727160493828344E-2</v>
      </c>
      <c r="S50" s="18">
        <f>('BFI Scores'!X50-'BFI Scores'!D50)^2</f>
        <v>7.7160493827160614</v>
      </c>
      <c r="T50" s="18">
        <f>('BFI Scores'!Y50-'BFI Scores'!E50)^2</f>
        <v>0.2626562500000002</v>
      </c>
      <c r="U50" s="18">
        <f>('BFI Scores'!Z50-'BFI Scores'!F50)^2</f>
        <v>2.8224000000000005</v>
      </c>
      <c r="V50" s="18">
        <f>('BFI Scores'!AA50-'BFI Scores'!B50)^2</f>
        <v>0.20250000000000015</v>
      </c>
      <c r="W50" s="18">
        <f>('BFI Scores'!AB50-'BFI Scores'!C50)^2</f>
        <v>6.1393827160494976E-2</v>
      </c>
      <c r="X50" s="18">
        <f>('BFI Scores'!AC50-'BFI Scores'!D50)^2</f>
        <v>7.5930864197531109</v>
      </c>
      <c r="Y50" s="18">
        <f>('BFI Scores'!AD50-'BFI Scores'!E50)^2</f>
        <v>1.6899999999999995</v>
      </c>
      <c r="Z50" s="18">
        <f>('BFI Scores'!AE50-'BFI Scores'!F50)^2</f>
        <v>1.1024999999999996</v>
      </c>
      <c r="AA50" s="20">
        <f t="shared" si="5"/>
        <v>1.5949313888888885</v>
      </c>
      <c r="AB50" s="20">
        <f t="shared" si="6"/>
        <v>2.0309107716049364</v>
      </c>
      <c r="AC50" s="20">
        <f t="shared" si="7"/>
        <v>2.6503231172839485</v>
      </c>
      <c r="AD50" s="20">
        <f t="shared" si="8"/>
        <v>2.1916665586419781</v>
      </c>
      <c r="AE50" s="20">
        <f t="shared" si="9"/>
        <v>2.129896049382721</v>
      </c>
    </row>
    <row r="51" spans="1:31" x14ac:dyDescent="0.2">
      <c r="A51" s="17">
        <v>44380</v>
      </c>
      <c r="B51" s="18">
        <f>('BFI Scores'!G51-'BFI Scores'!B51)^2</f>
        <v>7.1556250000000043E-2</v>
      </c>
      <c r="C51" s="18">
        <f>('BFI Scores'!H51-'BFI Scores'!C51)^2</f>
        <v>5.3777777777773749E-3</v>
      </c>
      <c r="D51" s="18">
        <f>('BFI Scores'!I51-'BFI Scores'!D51)^2</f>
        <v>0.47763456790123288</v>
      </c>
      <c r="E51" s="18">
        <f>('BFI Scores'!J51-'BFI Scores'!E51)^2</f>
        <v>2.2499999999999975E-2</v>
      </c>
      <c r="F51" s="18">
        <f>('BFI Scores'!K51-'BFI Scores'!F51)^2</f>
        <v>2.6244000000000005</v>
      </c>
      <c r="G51" s="18">
        <f>('BFI Scores'!L51-'BFI Scores'!B51)^2</f>
        <v>0.10240000000000019</v>
      </c>
      <c r="H51" s="18">
        <f>('BFI Scores'!M51-'BFI Scores'!C51)^2</f>
        <v>1.1377777777778493E-2</v>
      </c>
      <c r="I51" s="18">
        <f>('BFI Scores'!N51-'BFI Scores'!D51)^2</f>
        <v>0.25222716049382482</v>
      </c>
      <c r="J51" s="18">
        <f>('BFI Scores'!O51-'BFI Scores'!E51)^2</f>
        <v>1.265625000000001E-2</v>
      </c>
      <c r="K51" s="18">
        <f>('BFI Scores'!P51-'BFI Scores'!F51)^2</f>
        <v>1.5376000000000005</v>
      </c>
      <c r="L51" s="18">
        <f>('BFI Scores'!Q51-'BFI Scores'!B51)^2</f>
        <v>1.1024999999999997E-2</v>
      </c>
      <c r="M51" s="18">
        <f>('BFI Scores'!R51-'BFI Scores'!C51)^2</f>
        <v>0.13772345679012235</v>
      </c>
      <c r="N51" s="18">
        <f>('BFI Scores'!S51-'BFI Scores'!D51)^2</f>
        <v>0.77440000000000064</v>
      </c>
      <c r="O51" s="18">
        <f>('BFI Scores'!T51-'BFI Scores'!E51)^2</f>
        <v>2.2499999999999975E-2</v>
      </c>
      <c r="P51" s="18">
        <f>('BFI Scores'!U51-'BFI Scores'!F51)^2</f>
        <v>2.1025000000000005</v>
      </c>
      <c r="Q51" s="18">
        <f>('BFI Scores'!V51-'BFI Scores'!B51)^2</f>
        <v>6.630625000000015E-2</v>
      </c>
      <c r="R51" s="18">
        <f>('BFI Scores'!W51-'BFI Scores'!C51)^2</f>
        <v>7.1308641975302437E-3</v>
      </c>
      <c r="S51" s="18">
        <f>('BFI Scores'!X51-'BFI Scores'!D51)^2</f>
        <v>0.59119012345679189</v>
      </c>
      <c r="T51" s="18">
        <f>('BFI Scores'!Y51-'BFI Scores'!E51)^2</f>
        <v>3.999999999999998E-2</v>
      </c>
      <c r="U51" s="18">
        <f>('BFI Scores'!Z51-'BFI Scores'!F51)^2</f>
        <v>1.5876000000000006</v>
      </c>
      <c r="V51" s="18">
        <f>('BFI Scores'!AA51-'BFI Scores'!B51)^2</f>
        <v>1.8062499999999984E-3</v>
      </c>
      <c r="W51" s="18">
        <f>('BFI Scores'!AB51-'BFI Scores'!C51)^2</f>
        <v>0.11409382716049529</v>
      </c>
      <c r="X51" s="18">
        <f>('BFI Scores'!AC51-'BFI Scores'!D51)^2</f>
        <v>0.57422716049383038</v>
      </c>
      <c r="Y51" s="18">
        <f>('BFI Scores'!AD51-'BFI Scores'!E51)^2</f>
        <v>0.78765625000000028</v>
      </c>
      <c r="Z51" s="18">
        <f>('BFI Scores'!AE51-'BFI Scores'!F51)^2</f>
        <v>4.1616</v>
      </c>
      <c r="AA51" s="20">
        <f t="shared" si="5"/>
        <v>0.64029371913580213</v>
      </c>
      <c r="AB51" s="20">
        <f t="shared" si="6"/>
        <v>0.38325223765432082</v>
      </c>
      <c r="AC51" s="20">
        <f t="shared" si="7"/>
        <v>0.60962969135802469</v>
      </c>
      <c r="AD51" s="20">
        <f t="shared" si="8"/>
        <v>0.45844544753086458</v>
      </c>
      <c r="AE51" s="20">
        <f t="shared" si="9"/>
        <v>1.1278766975308652</v>
      </c>
    </row>
    <row r="52" spans="1:31" x14ac:dyDescent="0.2">
      <c r="A52" s="17">
        <v>44542</v>
      </c>
      <c r="B52" s="18">
        <f>('BFI Scores'!G52-'BFI Scores'!B52)^2</f>
        <v>1.7556250000000075E-2</v>
      </c>
      <c r="C52" s="18">
        <f>('BFI Scores'!H52-'BFI Scores'!C52)^2</f>
        <v>0.41244938271604659</v>
      </c>
      <c r="D52" s="18">
        <f>('BFI Scores'!I52-'BFI Scores'!D52)^2</f>
        <v>4.9729000000000001</v>
      </c>
      <c r="E52" s="18">
        <f>('BFI Scores'!J52-'BFI Scores'!E52)^2</f>
        <v>0.15999999999999992</v>
      </c>
      <c r="F52" s="18">
        <f>('BFI Scores'!K52-'BFI Scores'!F52)^2</f>
        <v>0.51840000000000031</v>
      </c>
      <c r="G52" s="18">
        <f>('BFI Scores'!L52-'BFI Scores'!B52)^2</f>
        <v>0.27040000000000003</v>
      </c>
      <c r="H52" s="18">
        <f>('BFI Scores'!M52-'BFI Scores'!C52)^2</f>
        <v>0.47151111111110178</v>
      </c>
      <c r="I52" s="18">
        <f>('BFI Scores'!N52-'BFI Scores'!D52)^2</f>
        <v>5.2746777777777929</v>
      </c>
      <c r="J52" s="18">
        <f>('BFI Scores'!O52-'BFI Scores'!E52)^2</f>
        <v>6.25E-2</v>
      </c>
      <c r="K52" s="18">
        <f>('BFI Scores'!P52-'BFI Scores'!F52)^2</f>
        <v>0.5625</v>
      </c>
      <c r="L52" s="18">
        <f>('BFI Scores'!Q52-'BFI Scores'!B52)^2</f>
        <v>2.1025000000000005E-2</v>
      </c>
      <c r="M52" s="18">
        <f>('BFI Scores'!R52-'BFI Scores'!C52)^2</f>
        <v>1.719012345678991E-2</v>
      </c>
      <c r="N52" s="18">
        <f>('BFI Scores'!S52-'BFI Scores'!D52)^2</f>
        <v>4.9729000000000001</v>
      </c>
      <c r="O52" s="18">
        <f>('BFI Scores'!T52-'BFI Scores'!E52)^2</f>
        <v>0.15015624999999996</v>
      </c>
      <c r="P52" s="18">
        <f>('BFI Scores'!U52-'BFI Scores'!F52)^2</f>
        <v>1.6384000000000007</v>
      </c>
      <c r="Q52" s="18">
        <f>('BFI Scores'!V52-'BFI Scores'!B52)^2</f>
        <v>0.22090000000000018</v>
      </c>
      <c r="R52" s="18">
        <f>('BFI Scores'!W52-'BFI Scores'!C52)^2</f>
        <v>0.31859753086419235</v>
      </c>
      <c r="S52" s="18">
        <f>('BFI Scores'!X52-'BFI Scores'!D52)^2</f>
        <v>6.1228753086419534</v>
      </c>
      <c r="T52" s="18">
        <f>('BFI Scores'!Y52-'BFI Scores'!E52)^2</f>
        <v>0.15015624999999996</v>
      </c>
      <c r="U52" s="18">
        <f>('BFI Scores'!Z52-'BFI Scores'!F52)^2</f>
        <v>0.5625</v>
      </c>
      <c r="V52" s="18">
        <f>('BFI Scores'!AA52-'BFI Scores'!B52)^2</f>
        <v>1.1990249999999996</v>
      </c>
      <c r="W52" s="18">
        <f>('BFI Scores'!AB52-'BFI Scores'!C52)^2</f>
        <v>1.5486419753085293E-2</v>
      </c>
      <c r="X52" s="18">
        <f>('BFI Scores'!AC52-'BFI Scores'!D52)^2</f>
        <v>5.6908753086419956</v>
      </c>
      <c r="Y52" s="18">
        <f>('BFI Scores'!AD52-'BFI Scores'!E52)^2</f>
        <v>0.11390624999999995</v>
      </c>
      <c r="Z52" s="18">
        <f>('BFI Scores'!AE52-'BFI Scores'!F52)^2</f>
        <v>0.40960000000000019</v>
      </c>
      <c r="AA52" s="20">
        <f t="shared" si="5"/>
        <v>1.2162611265432095</v>
      </c>
      <c r="AB52" s="20">
        <f t="shared" si="6"/>
        <v>1.3283177777777788</v>
      </c>
      <c r="AC52" s="20">
        <f t="shared" si="7"/>
        <v>1.3599342746913581</v>
      </c>
      <c r="AD52" s="20">
        <f t="shared" si="8"/>
        <v>1.4750058179012293</v>
      </c>
      <c r="AE52" s="20">
        <f t="shared" si="9"/>
        <v>1.4857785956790162</v>
      </c>
    </row>
    <row r="53" spans="1:31" x14ac:dyDescent="0.2">
      <c r="A53" s="17">
        <v>44960</v>
      </c>
      <c r="B53" s="18">
        <f>('BFI Scores'!G53-'BFI Scores'!B53)^2</f>
        <v>3.2399999999999977E-2</v>
      </c>
      <c r="C53" s="18">
        <f>('BFI Scores'!H53-'BFI Scores'!C53)^2</f>
        <v>0.38854444444445296</v>
      </c>
      <c r="D53" s="18">
        <f>('BFI Scores'!I53-'BFI Scores'!D53)^2</f>
        <v>0.14779753086419456</v>
      </c>
      <c r="E53" s="18">
        <f>('BFI Scores'!J53-'BFI Scores'!E53)^2</f>
        <v>4</v>
      </c>
      <c r="F53" s="18">
        <f>('BFI Scores'!K53-'BFI Scores'!F53)^2</f>
        <v>0.34809999999999985</v>
      </c>
      <c r="G53" s="18">
        <f>('BFI Scores'!L53-'BFI Scores'!B53)^2</f>
        <v>3.3306250000000037E-2</v>
      </c>
      <c r="H53" s="18">
        <f>('BFI Scores'!M53-'BFI Scores'!C53)^2</f>
        <v>0.16089012345678949</v>
      </c>
      <c r="I53" s="18">
        <f>('BFI Scores'!N53-'BFI Scores'!D53)^2</f>
        <v>0.18394567901234682</v>
      </c>
      <c r="J53" s="18">
        <f>('BFI Scores'!O53-'BFI Scores'!E53)^2</f>
        <v>4</v>
      </c>
      <c r="K53" s="18">
        <f>('BFI Scores'!P53-'BFI Scores'!F53)^2</f>
        <v>0.18489999999999976</v>
      </c>
      <c r="L53" s="18">
        <f>('BFI Scores'!Q53-'BFI Scores'!B53)^2</f>
        <v>0.63202499999999984</v>
      </c>
      <c r="M53" s="18">
        <f>('BFI Scores'!R53-'BFI Scores'!C53)^2</f>
        <v>0.15037160493827351</v>
      </c>
      <c r="N53" s="18">
        <f>('BFI Scores'!S53-'BFI Scores'!D53)^2</f>
        <v>0.19360000000000036</v>
      </c>
      <c r="O53" s="18">
        <f>('BFI Scores'!T53-'BFI Scores'!E53)^2</f>
        <v>4.4626562499999993</v>
      </c>
      <c r="P53" s="18">
        <f>('BFI Scores'!U53-'BFI Scores'!F53)^2</f>
        <v>4.0000000000000072E-4</v>
      </c>
      <c r="Q53" s="18">
        <f>('BFI Scores'!V53-'BFI Scores'!B53)^2</f>
        <v>2.0249999999999938E-3</v>
      </c>
      <c r="R53" s="18">
        <f>('BFI Scores'!W53-'BFI Scores'!C53)^2</f>
        <v>0.27387777777778483</v>
      </c>
      <c r="S53" s="18">
        <f>('BFI Scores'!X53-'BFI Scores'!D53)^2</f>
        <v>0.15646419753086815</v>
      </c>
      <c r="T53" s="18">
        <f>('BFI Scores'!Y53-'BFI Scores'!E53)^2</f>
        <v>1.9599999999999997</v>
      </c>
      <c r="U53" s="18">
        <f>('BFI Scores'!Z53-'BFI Scores'!F53)^2</f>
        <v>4.4099999999999986E-2</v>
      </c>
      <c r="V53" s="18">
        <f>('BFI Scores'!AA53-'BFI Scores'!B53)^2</f>
        <v>0.57380625000000041</v>
      </c>
      <c r="W53" s="18">
        <f>('BFI Scores'!AB53-'BFI Scores'!C53)^2</f>
        <v>9.9999999999995736E-5</v>
      </c>
      <c r="X53" s="18">
        <f>('BFI Scores'!AC53-'BFI Scores'!D53)^2</f>
        <v>0.46846419753085866</v>
      </c>
      <c r="Y53" s="18">
        <f>('BFI Scores'!AD53-'BFI Scores'!E53)^2</f>
        <v>4.3056250000000009</v>
      </c>
      <c r="Z53" s="18">
        <f>('BFI Scores'!AE53-'BFI Scores'!F53)^2</f>
        <v>0.18490000000000015</v>
      </c>
      <c r="AA53" s="20">
        <f t="shared" si="5"/>
        <v>0.98336839506172935</v>
      </c>
      <c r="AB53" s="20">
        <f t="shared" si="6"/>
        <v>0.91260841049382724</v>
      </c>
      <c r="AC53" s="20">
        <f t="shared" si="7"/>
        <v>1.0878105709876547</v>
      </c>
      <c r="AD53" s="20">
        <f t="shared" si="8"/>
        <v>0.48729339506173047</v>
      </c>
      <c r="AE53" s="20">
        <f t="shared" si="9"/>
        <v>1.1065790895061718</v>
      </c>
    </row>
    <row r="54" spans="1:31" x14ac:dyDescent="0.2">
      <c r="A54" s="17">
        <v>45742</v>
      </c>
      <c r="B54" s="18">
        <f>('BFI Scores'!G54-'BFI Scores'!B54)^2</f>
        <v>0.50765624999999992</v>
      </c>
      <c r="C54" s="18">
        <f>('BFI Scores'!H54-'BFI Scores'!C54)^2</f>
        <v>3.240000000000022E-2</v>
      </c>
      <c r="D54" s="18">
        <f>('BFI Scores'!I54-'BFI Scores'!D54)^2</f>
        <v>0.98009999999999953</v>
      </c>
      <c r="E54" s="18">
        <f>('BFI Scores'!J54-'BFI Scores'!E54)^2</f>
        <v>0</v>
      </c>
      <c r="F54" s="18">
        <f>('BFI Scores'!K54-'BFI Scores'!F54)^2</f>
        <v>3.6100000000000146E-2</v>
      </c>
      <c r="G54" s="18">
        <f>('BFI Scores'!L54-'BFI Scores'!B54)^2</f>
        <v>1</v>
      </c>
      <c r="H54" s="18">
        <f>('BFI Scores'!M54-'BFI Scores'!C54)^2</f>
        <v>3.240000000000022E-2</v>
      </c>
      <c r="I54" s="18">
        <f>('BFI Scores'!N54-'BFI Scores'!D54)^2</f>
        <v>2.1218777777777866</v>
      </c>
      <c r="J54" s="18">
        <f>('BFI Scores'!O54-'BFI Scores'!E54)^2</f>
        <v>1.4062500000000067E-3</v>
      </c>
      <c r="K54" s="18">
        <f>('BFI Scores'!P54-'BFI Scores'!F54)^2</f>
        <v>3.2399999999999901E-2</v>
      </c>
      <c r="L54" s="18">
        <f>('BFI Scores'!Q54-'BFI Scores'!B54)^2</f>
        <v>3.5626562500000007</v>
      </c>
      <c r="M54" s="18">
        <f>('BFI Scores'!R54-'BFI Scores'!C54)^2</f>
        <v>5.9753086419732685E-4</v>
      </c>
      <c r="N54" s="18">
        <f>('BFI Scores'!S54-'BFI Scores'!D54)^2</f>
        <v>4.1842975308641739</v>
      </c>
      <c r="O54" s="18">
        <f>('BFI Scores'!T54-'BFI Scores'!E54)^2</f>
        <v>3.999999999999998E-2</v>
      </c>
      <c r="P54" s="18">
        <f>('BFI Scores'!U54-'BFI Scores'!F54)^2</f>
        <v>5.7599999999999887E-2</v>
      </c>
      <c r="Q54" s="18">
        <f>('BFI Scores'!V54-'BFI Scores'!B54)^2</f>
        <v>0.15015625000000013</v>
      </c>
      <c r="R54" s="18">
        <f>('BFI Scores'!W54-'BFI Scores'!C54)^2</f>
        <v>2.8523456790123976E-2</v>
      </c>
      <c r="S54" s="18">
        <f>('BFI Scores'!X54-'BFI Scores'!D54)^2</f>
        <v>1.8708160493827215</v>
      </c>
      <c r="T54" s="18">
        <f>('BFI Scores'!Y54-'BFI Scores'!E54)^2</f>
        <v>1.265625000000001E-2</v>
      </c>
      <c r="U54" s="18">
        <f>('BFI Scores'!Z54-'BFI Scores'!F54)^2</f>
        <v>6.4000000000000116E-3</v>
      </c>
      <c r="V54" s="18">
        <f>('BFI Scores'!AA54-'BFI Scores'!B54)^2</f>
        <v>6.25E-2</v>
      </c>
      <c r="W54" s="18">
        <f>('BFI Scores'!AB54-'BFI Scores'!C54)^2</f>
        <v>2.1777777777772151E-3</v>
      </c>
      <c r="X54" s="18">
        <f>('BFI Scores'!AC54-'BFI Scores'!D54)^2</f>
        <v>0.79209999999999947</v>
      </c>
      <c r="Y54" s="18">
        <f>('BFI Scores'!AD54-'BFI Scores'!E54)^2</f>
        <v>1.5625E-2</v>
      </c>
      <c r="Z54" s="18">
        <f>('BFI Scores'!AE54-'BFI Scores'!F54)^2</f>
        <v>3.6000000000000064E-3</v>
      </c>
      <c r="AA54" s="20">
        <f t="shared" si="5"/>
        <v>0.31125124999999998</v>
      </c>
      <c r="AB54" s="20">
        <f t="shared" si="6"/>
        <v>0.63761680555555733</v>
      </c>
      <c r="AC54" s="20">
        <f t="shared" si="7"/>
        <v>1.5690302623456744</v>
      </c>
      <c r="AD54" s="20">
        <f t="shared" si="8"/>
        <v>0.41371040123456915</v>
      </c>
      <c r="AE54" s="20">
        <f t="shared" si="9"/>
        <v>0.17520055555555533</v>
      </c>
    </row>
    <row r="55" spans="1:31" x14ac:dyDescent="0.2">
      <c r="A55" s="17">
        <v>48989</v>
      </c>
      <c r="B55" s="18">
        <f>('BFI Scores'!G55-'BFI Scores'!B55)^2</f>
        <v>0.7014062499999999</v>
      </c>
      <c r="C55" s="18">
        <f>('BFI Scores'!H55-'BFI Scores'!C55)^2</f>
        <v>1.4748753086419888</v>
      </c>
      <c r="D55" s="18">
        <f>('BFI Scores'!I55-'BFI Scores'!D55)^2</f>
        <v>0.57759999999999967</v>
      </c>
      <c r="E55" s="18">
        <f>('BFI Scores'!J55-'BFI Scores'!E55)^2</f>
        <v>0.17639999999999995</v>
      </c>
      <c r="F55" s="18">
        <f>('BFI Scores'!K55-'BFI Scores'!F55)^2</f>
        <v>0.12250000000000007</v>
      </c>
      <c r="G55" s="18">
        <f>('BFI Scores'!L55-'BFI Scores'!B55)^2</f>
        <v>0.68062500000000026</v>
      </c>
      <c r="H55" s="18">
        <f>('BFI Scores'!M55-'BFI Scores'!C55)^2</f>
        <v>1.5848012345679037</v>
      </c>
      <c r="I55" s="18">
        <f>('BFI Scores'!N55-'BFI Scores'!D55)^2</f>
        <v>0.37890864197530133</v>
      </c>
      <c r="J55" s="18">
        <f>('BFI Scores'!O55-'BFI Scores'!E55)^2</f>
        <v>0.25755625000000026</v>
      </c>
      <c r="K55" s="18">
        <f>('BFI Scores'!P55-'BFI Scores'!F55)^2</f>
        <v>0.17639999999999995</v>
      </c>
      <c r="L55" s="18">
        <f>('BFI Scores'!Q55-'BFI Scores'!B55)^2</f>
        <v>0.5625</v>
      </c>
      <c r="M55" s="18">
        <f>('BFI Scores'!R55-'BFI Scores'!C55)^2</f>
        <v>1.5019864197530965</v>
      </c>
      <c r="N55" s="18">
        <f>('BFI Scores'!S55-'BFI Scores'!D55)^2</f>
        <v>1.789649382716054</v>
      </c>
      <c r="O55" s="18">
        <f>('BFI Scores'!T55-'BFI Scores'!E55)^2</f>
        <v>1.8428062499999998</v>
      </c>
      <c r="P55" s="18">
        <f>('BFI Scores'!U55-'BFI Scores'!F55)^2</f>
        <v>4.4099999999999986E-2</v>
      </c>
      <c r="Q55" s="18">
        <f>('BFI Scores'!V55-'BFI Scores'!B55)^2</f>
        <v>2.5600000000000005</v>
      </c>
      <c r="R55" s="18">
        <f>('BFI Scores'!W55-'BFI Scores'!C55)^2</f>
        <v>0.87734444444443171</v>
      </c>
      <c r="S55" s="18">
        <f>('BFI Scores'!X55-'BFI Scores'!D55)^2</f>
        <v>1.5047111111111184</v>
      </c>
      <c r="T55" s="18">
        <f>('BFI Scores'!Y55-'BFI Scores'!E55)^2</f>
        <v>0.13690000000000008</v>
      </c>
      <c r="U55" s="18">
        <f>('BFI Scores'!Z55-'BFI Scores'!F55)^2</f>
        <v>2.8899999999999974E-2</v>
      </c>
      <c r="V55" s="18">
        <f>('BFI Scores'!AA55-'BFI Scores'!B55)^2</f>
        <v>2.640625</v>
      </c>
      <c r="W55" s="18">
        <f>('BFI Scores'!AB55-'BFI Scores'!C55)^2</f>
        <v>2.4301345679012383</v>
      </c>
      <c r="X55" s="18">
        <f>('BFI Scores'!AC55-'BFI Scores'!D55)^2</f>
        <v>1.1953777777777699</v>
      </c>
      <c r="Y55" s="18">
        <f>('BFI Scores'!AD55-'BFI Scores'!E55)^2</f>
        <v>1.1990250000000005</v>
      </c>
      <c r="Z55" s="18">
        <f>('BFI Scores'!AE55-'BFI Scores'!F55)^2</f>
        <v>2.5600000000000046E-2</v>
      </c>
      <c r="AA55" s="20">
        <f t="shared" si="5"/>
        <v>0.61055631172839775</v>
      </c>
      <c r="AB55" s="20">
        <f t="shared" si="6"/>
        <v>0.61565822530864112</v>
      </c>
      <c r="AC55" s="20">
        <f t="shared" si="7"/>
        <v>1.1482084104938302</v>
      </c>
      <c r="AD55" s="20">
        <f t="shared" si="8"/>
        <v>1.0215711111111101</v>
      </c>
      <c r="AE55" s="20">
        <f t="shared" si="9"/>
        <v>1.4981524691358017</v>
      </c>
    </row>
    <row r="56" spans="1:31" x14ac:dyDescent="0.2">
      <c r="A56" s="17">
        <v>49426</v>
      </c>
      <c r="B56" s="18">
        <f>('BFI Scores'!G56-'BFI Scores'!B56)^2</f>
        <v>3.7056249999999995</v>
      </c>
      <c r="C56" s="18">
        <f>('BFI Scores'!H56-'BFI Scores'!C56)^2</f>
        <v>6.3056790123456205E-2</v>
      </c>
      <c r="D56" s="18">
        <f>('BFI Scores'!I56-'BFI Scores'!D56)^2</f>
        <v>0.56583827160493516</v>
      </c>
      <c r="E56" s="18">
        <f>('BFI Scores'!J56-'BFI Scores'!E56)^2</f>
        <v>1.2100000000000002</v>
      </c>
      <c r="F56" s="18">
        <f>('BFI Scores'!K56-'BFI Scores'!F56)^2</f>
        <v>2.5000000000000265E-3</v>
      </c>
      <c r="G56" s="18">
        <f>('BFI Scores'!L56-'BFI Scores'!B56)^2</f>
        <v>4</v>
      </c>
      <c r="H56" s="18">
        <f>('BFI Scores'!M56-'BFI Scores'!C56)^2</f>
        <v>6.3056790123456205E-2</v>
      </c>
      <c r="I56" s="18">
        <f>('BFI Scores'!N56-'BFI Scores'!D56)^2</f>
        <v>0.23576419753085878</v>
      </c>
      <c r="J56" s="18">
        <f>('BFI Scores'!O56-'BFI Scores'!E56)^2</f>
        <v>1.4400000000000004</v>
      </c>
      <c r="K56" s="18">
        <f>('BFI Scores'!P56-'BFI Scores'!F56)^2</f>
        <v>2.2499999999999975E-2</v>
      </c>
      <c r="L56" s="18">
        <f>('BFI Scores'!Q56-'BFI Scores'!B56)^2</f>
        <v>2.6814062500000007</v>
      </c>
      <c r="M56" s="18">
        <f>('BFI Scores'!R56-'BFI Scores'!C56)^2</f>
        <v>3.7377777777780362E-2</v>
      </c>
      <c r="N56" s="18">
        <f>('BFI Scores'!S56-'BFI Scores'!D56)^2</f>
        <v>8.154197530864464E-2</v>
      </c>
      <c r="O56" s="18">
        <f>('BFI Scores'!T56-'BFI Scores'!E56)^2</f>
        <v>1.72265625</v>
      </c>
      <c r="P56" s="18">
        <f>('BFI Scores'!U56-'BFI Scores'!F56)^2</f>
        <v>0.75690000000000024</v>
      </c>
      <c r="Q56" s="18">
        <f>('BFI Scores'!V56-'BFI Scores'!B56)^2</f>
        <v>3.75390625</v>
      </c>
      <c r="R56" s="18">
        <f>('BFI Scores'!W56-'BFI Scores'!C56)^2</f>
        <v>1.4271604938273382E-3</v>
      </c>
      <c r="S56" s="18">
        <f>('BFI Scores'!X56-'BFI Scores'!D56)^2</f>
        <v>0.61709753086418884</v>
      </c>
      <c r="T56" s="18">
        <f>('BFI Scores'!Y56-'BFI Scores'!E56)^2</f>
        <v>1.0764062500000002</v>
      </c>
      <c r="U56" s="18">
        <f>('BFI Scores'!Z56-'BFI Scores'!F56)^2</f>
        <v>2.4999999999999823E-3</v>
      </c>
      <c r="V56" s="18">
        <f>('BFI Scores'!AA56-'BFI Scores'!B56)^2</f>
        <v>3.0189062499999992</v>
      </c>
      <c r="W56" s="18">
        <f>('BFI Scores'!AB56-'BFI Scores'!C56)^2</f>
        <v>5.7599999999999887E-2</v>
      </c>
      <c r="X56" s="18">
        <f>('BFI Scores'!AC56-'BFI Scores'!D56)^2</f>
        <v>0.20050493827160679</v>
      </c>
      <c r="Y56" s="18">
        <f>('BFI Scores'!AD56-'BFI Scores'!E56)^2</f>
        <v>1.72265625</v>
      </c>
      <c r="Z56" s="18">
        <f>('BFI Scores'!AE56-'BFI Scores'!F56)^2</f>
        <v>0.77439999999999987</v>
      </c>
      <c r="AA56" s="20">
        <f t="shared" si="5"/>
        <v>1.1094040123456783</v>
      </c>
      <c r="AB56" s="20">
        <f t="shared" si="6"/>
        <v>1.152264197530863</v>
      </c>
      <c r="AC56" s="20">
        <f t="shared" si="7"/>
        <v>1.0559764506172851</v>
      </c>
      <c r="AD56" s="20">
        <f t="shared" si="8"/>
        <v>1.0902674382716033</v>
      </c>
      <c r="AE56" s="20">
        <f t="shared" si="9"/>
        <v>1.1548134876543212</v>
      </c>
    </row>
    <row r="57" spans="1:31" x14ac:dyDescent="0.2">
      <c r="A57" s="17">
        <v>52256</v>
      </c>
      <c r="B57" s="18">
        <f>('BFI Scores'!G57-'BFI Scores'!B57)^2</f>
        <v>9.4556250000000064E-2</v>
      </c>
      <c r="C57" s="18">
        <f>('BFI Scores'!H57-'BFI Scores'!C57)^2</f>
        <v>4.8400000000000089E-2</v>
      </c>
      <c r="D57" s="18">
        <f>('BFI Scores'!I57-'BFI Scores'!D57)^2</f>
        <v>0.19164938271605136</v>
      </c>
      <c r="E57" s="18">
        <f>('BFI Scores'!J57-'BFI Scores'!E57)^2</f>
        <v>1.8023062499999996</v>
      </c>
      <c r="F57" s="18">
        <f>('BFI Scores'!K57-'BFI Scores'!F57)^2</f>
        <v>0.47609999999999991</v>
      </c>
      <c r="G57" s="18">
        <f>('BFI Scores'!L57-'BFI Scores'!B57)^2</f>
        <v>0.22090000000000018</v>
      </c>
      <c r="H57" s="18">
        <f>('BFI Scores'!M57-'BFI Scores'!C57)^2</f>
        <v>9.5604938271609645E-3</v>
      </c>
      <c r="I57" s="18">
        <f>('BFI Scores'!N57-'BFI Scores'!D57)^2</f>
        <v>0.33898271604938063</v>
      </c>
      <c r="J57" s="18">
        <f>('BFI Scores'!O57-'BFI Scores'!E57)^2</f>
        <v>1.8023062499999996</v>
      </c>
      <c r="K57" s="18">
        <f>('BFI Scores'!P57-'BFI Scores'!F57)^2</f>
        <v>0.42249999999999988</v>
      </c>
      <c r="L57" s="18">
        <f>('BFI Scores'!Q57-'BFI Scores'!B57)^2</f>
        <v>0.22090000000000018</v>
      </c>
      <c r="M57" s="18">
        <f>('BFI Scores'!R57-'BFI Scores'!C57)^2</f>
        <v>4.8400000000000089E-2</v>
      </c>
      <c r="N57" s="18">
        <f>('BFI Scores'!S57-'BFI Scores'!D57)^2</f>
        <v>0.24557530864197946</v>
      </c>
      <c r="O57" s="18">
        <f>('BFI Scores'!T57-'BFI Scores'!E57)^2</f>
        <v>0.39689999999999986</v>
      </c>
      <c r="P57" s="18">
        <f>('BFI Scores'!U57-'BFI Scores'!F57)^2</f>
        <v>0.6241000000000001</v>
      </c>
      <c r="Q57" s="18">
        <f>('BFI Scores'!V57-'BFI Scores'!B57)^2</f>
        <v>0.13690000000000008</v>
      </c>
      <c r="R57" s="18">
        <f>('BFI Scores'!W57-'BFI Scores'!C57)^2</f>
        <v>1.5486419753085293E-2</v>
      </c>
      <c r="S57" s="18">
        <f>('BFI Scores'!X57-'BFI Scores'!D57)^2</f>
        <v>1.4271604938273382E-3</v>
      </c>
      <c r="T57" s="18">
        <f>('BFI Scores'!Y57-'BFI Scores'!E57)^2</f>
        <v>1.3053062499999997</v>
      </c>
      <c r="U57" s="18">
        <f>('BFI Scores'!Z57-'BFI Scores'!F57)^2</f>
        <v>0.8280999999999995</v>
      </c>
      <c r="V57" s="18">
        <f>('BFI Scores'!AA57-'BFI Scores'!B57)^2</f>
        <v>1.9810562500000006</v>
      </c>
      <c r="W57" s="18">
        <f>('BFI Scores'!AB57-'BFI Scores'!C57)^2</f>
        <v>2.1777777777771323E-3</v>
      </c>
      <c r="X57" s="18">
        <f>('BFI Scores'!AC57-'BFI Scores'!D57)^2</f>
        <v>0.94737777777777143</v>
      </c>
      <c r="Y57" s="18">
        <f>('BFI Scores'!AD57-'BFI Scores'!E57)^2</f>
        <v>0.58905624999999973</v>
      </c>
      <c r="Z57" s="18">
        <f>('BFI Scores'!AE57-'BFI Scores'!F57)^2</f>
        <v>2.1315999999999997</v>
      </c>
      <c r="AA57" s="20">
        <f t="shared" si="5"/>
        <v>0.52260237654321018</v>
      </c>
      <c r="AB57" s="20">
        <f t="shared" si="6"/>
        <v>0.55884989197530821</v>
      </c>
      <c r="AC57" s="20">
        <f t="shared" si="7"/>
        <v>0.30717506172839593</v>
      </c>
      <c r="AD57" s="20">
        <f t="shared" si="8"/>
        <v>0.45744396604938242</v>
      </c>
      <c r="AE57" s="20">
        <f t="shared" si="9"/>
        <v>1.1302536111111097</v>
      </c>
    </row>
    <row r="58" spans="1:31" x14ac:dyDescent="0.2">
      <c r="A58" s="17">
        <v>53009</v>
      </c>
      <c r="B58" s="18">
        <f>('BFI Scores'!G58-'BFI Scores'!B58)^2</f>
        <v>0.60062499999999985</v>
      </c>
      <c r="C58" s="18">
        <f>('BFI Scores'!H58-'BFI Scores'!C58)^2</f>
        <v>1.7827160493825609E-3</v>
      </c>
      <c r="D58" s="18">
        <f>('BFI Scores'!I58-'BFI Scores'!D58)^2</f>
        <v>1.2345679012343617E-4</v>
      </c>
      <c r="E58" s="18">
        <f>('BFI Scores'!J58-'BFI Scores'!E58)^2</f>
        <v>3.515625</v>
      </c>
      <c r="F58" s="18">
        <f>('BFI Scores'!K58-'BFI Scores'!F58)^2</f>
        <v>2.1315999999999997</v>
      </c>
      <c r="G58" s="18">
        <f>('BFI Scores'!L58-'BFI Scores'!B58)^2</f>
        <v>1.12890625</v>
      </c>
      <c r="H58" s="18">
        <f>('BFI Scores'!M58-'BFI Scores'!C58)^2</f>
        <v>7.5111111111116893E-3</v>
      </c>
      <c r="I58" s="18">
        <f>('BFI Scores'!N58-'BFI Scores'!D58)^2</f>
        <v>0.25</v>
      </c>
      <c r="J58" s="18">
        <f>('BFI Scores'!O58-'BFI Scores'!E58)^2</f>
        <v>6.25</v>
      </c>
      <c r="K58" s="18">
        <f>('BFI Scores'!P58-'BFI Scores'!F58)^2</f>
        <v>1.2099999999999993</v>
      </c>
      <c r="L58" s="18">
        <f>('BFI Scores'!Q58-'BFI Scores'!B58)^2</f>
        <v>1.2100000000000002</v>
      </c>
      <c r="M58" s="18">
        <f>('BFI Scores'!R58-'BFI Scores'!C58)^2</f>
        <v>6.9930864197528531E-2</v>
      </c>
      <c r="N58" s="18">
        <f>('BFI Scores'!S58-'BFI Scores'!D58)^2</f>
        <v>0.93444444444445063</v>
      </c>
      <c r="O58" s="18">
        <f>('BFI Scores'!T58-'BFI Scores'!E58)^2</f>
        <v>7.839999999999999</v>
      </c>
      <c r="P58" s="18">
        <f>('BFI Scores'!U58-'BFI Scores'!F58)^2</f>
        <v>0.6888999999999994</v>
      </c>
      <c r="Q58" s="18">
        <f>('BFI Scores'!V58-'BFI Scores'!B58)^2</f>
        <v>0.45562500000000006</v>
      </c>
      <c r="R58" s="18">
        <f>('BFI Scores'!W58-'BFI Scores'!C58)^2</f>
        <v>6.3999999999999405E-3</v>
      </c>
      <c r="S58" s="18">
        <f>('BFI Scores'!X58-'BFI Scores'!D58)^2</f>
        <v>3.5679012345679433E-2</v>
      </c>
      <c r="T58" s="18">
        <f>('BFI Scores'!Y58-'BFI Scores'!E58)^2</f>
        <v>3.6576562500000005</v>
      </c>
      <c r="U58" s="18">
        <f>('BFI Scores'!Z58-'BFI Scores'!F58)^2</f>
        <v>1.9880999999999991</v>
      </c>
      <c r="V58" s="18">
        <f>('BFI Scores'!AA58-'BFI Scores'!B58)^2</f>
        <v>1.7889062499999997</v>
      </c>
      <c r="W58" s="18">
        <f>('BFI Scores'!AB58-'BFI Scores'!C58)^2</f>
        <v>9.5604938271609645E-3</v>
      </c>
      <c r="X58" s="18">
        <f>('BFI Scores'!AC58-'BFI Scores'!D58)^2</f>
        <v>3.5679012345679433E-2</v>
      </c>
      <c r="Y58" s="18">
        <f>('BFI Scores'!AD58-'BFI Scores'!E58)^2</f>
        <v>4.3056250000000009</v>
      </c>
      <c r="Z58" s="18">
        <f>('BFI Scores'!AE58-'BFI Scores'!F58)^2</f>
        <v>1.1448999999999996</v>
      </c>
      <c r="AA58" s="20">
        <f t="shared" si="5"/>
        <v>1.2499512345679011</v>
      </c>
      <c r="AB58" s="20">
        <f t="shared" si="6"/>
        <v>1.7692834722222224</v>
      </c>
      <c r="AC58" s="20">
        <f t="shared" si="7"/>
        <v>2.1486550617283955</v>
      </c>
      <c r="AD58" s="20">
        <f t="shared" si="8"/>
        <v>1.2286920524691358</v>
      </c>
      <c r="AE58" s="20">
        <f t="shared" si="9"/>
        <v>1.4569341512345682</v>
      </c>
    </row>
    <row r="59" spans="1:31" x14ac:dyDescent="0.2">
      <c r="A59" s="17">
        <v>53595</v>
      </c>
      <c r="B59" s="18">
        <f>('BFI Scores'!G59-'BFI Scores'!B59)^2</f>
        <v>2.7639062500000002</v>
      </c>
      <c r="C59" s="18">
        <f>('BFI Scores'!H59-'BFI Scores'!C59)^2</f>
        <v>5.9753086419732685E-4</v>
      </c>
      <c r="D59" s="18">
        <f>('BFI Scores'!I59-'BFI Scores'!D59)^2</f>
        <v>1.5376000000000005</v>
      </c>
      <c r="E59" s="18">
        <f>('BFI Scores'!J59-'BFI Scores'!E59)^2</f>
        <v>2.4180249999999992</v>
      </c>
      <c r="F59" s="18">
        <f>('BFI Scores'!K59-'BFI Scores'!F59)^2</f>
        <v>0.82810000000000028</v>
      </c>
      <c r="G59" s="18">
        <f>('BFI Scores'!L59-'BFI Scores'!B59)^2</f>
        <v>2.640625</v>
      </c>
      <c r="H59" s="18">
        <f>('BFI Scores'!M59-'BFI Scores'!C59)^2</f>
        <v>2.1777777777772151E-3</v>
      </c>
      <c r="I59" s="18">
        <f>('BFI Scores'!N59-'BFI Scores'!D59)^2</f>
        <v>1.7659456790123502</v>
      </c>
      <c r="J59" s="18">
        <f>('BFI Scores'!O59-'BFI Scores'!E59)^2</f>
        <v>1.7689000000000001</v>
      </c>
      <c r="K59" s="18">
        <f>('BFI Scores'!P59-'BFI Scores'!F59)^2</f>
        <v>0.59289999999999998</v>
      </c>
      <c r="L59" s="18">
        <f>('BFI Scores'!Q59-'BFI Scores'!B59)^2</f>
        <v>1.5625</v>
      </c>
      <c r="M59" s="18">
        <f>('BFI Scores'!R59-'BFI Scores'!C59)^2</f>
        <v>5.7086419753092192E-3</v>
      </c>
      <c r="N59" s="18">
        <f>('BFI Scores'!S59-'BFI Scores'!D59)^2</f>
        <v>1.9166864197531028</v>
      </c>
      <c r="O59" s="18">
        <f>('BFI Scores'!T59-'BFI Scores'!E59)^2</f>
        <v>2.1170250000000004</v>
      </c>
      <c r="P59" s="18">
        <f>('BFI Scores'!U59-'BFI Scores'!F59)^2</f>
        <v>3.5721000000000003</v>
      </c>
      <c r="Q59" s="18">
        <f>('BFI Scores'!V59-'BFI Scores'!B59)^2</f>
        <v>5.7001562500000009</v>
      </c>
      <c r="R59" s="18">
        <f>('BFI Scores'!W59-'BFI Scores'!C59)^2</f>
        <v>4.9382716049279734E-6</v>
      </c>
      <c r="S59" s="18">
        <f>('BFI Scores'!X59-'BFI Scores'!D59)^2</f>
        <v>1.7659456790123502</v>
      </c>
      <c r="T59" s="18">
        <f>('BFI Scores'!Y59-'BFI Scores'!E59)^2</f>
        <v>2.1170250000000004</v>
      </c>
      <c r="U59" s="18">
        <f>('BFI Scores'!Z59-'BFI Scores'!F59)^2</f>
        <v>0.40960000000000019</v>
      </c>
      <c r="V59" s="18">
        <f>('BFI Scores'!AA59-'BFI Scores'!B59)^2</f>
        <v>4.515625</v>
      </c>
      <c r="W59" s="18">
        <f>('BFI Scores'!AB59-'BFI Scores'!C59)^2</f>
        <v>1.7827160493825234E-3</v>
      </c>
      <c r="X59" s="18">
        <f>('BFI Scores'!AC59-'BFI Scores'!D59)^2</f>
        <v>1.7659456790123502</v>
      </c>
      <c r="Y59" s="18">
        <f>('BFI Scores'!AD59-'BFI Scores'!E59)^2</f>
        <v>3.1240562500000002</v>
      </c>
      <c r="Z59" s="18">
        <f>('BFI Scores'!AE59-'BFI Scores'!F59)^2</f>
        <v>0.88360000000000072</v>
      </c>
      <c r="AA59" s="20">
        <f t="shared" si="5"/>
        <v>1.5096457561728394</v>
      </c>
      <c r="AB59" s="20">
        <f t="shared" si="6"/>
        <v>1.3541096913580257</v>
      </c>
      <c r="AC59" s="20">
        <f t="shared" si="7"/>
        <v>1.8348040123456826</v>
      </c>
      <c r="AD59" s="20">
        <f t="shared" si="8"/>
        <v>1.9985463734567914</v>
      </c>
      <c r="AE59" s="20">
        <f t="shared" si="9"/>
        <v>2.058201929012347</v>
      </c>
    </row>
    <row r="60" spans="1:31" x14ac:dyDescent="0.2">
      <c r="A60" s="17">
        <v>53623</v>
      </c>
      <c r="B60" s="18">
        <f>('BFI Scores'!G60-'BFI Scores'!B60)^2</f>
        <v>2.8056249999999996</v>
      </c>
      <c r="C60" s="18">
        <f>('BFI Scores'!H60-'BFI Scores'!C60)^2</f>
        <v>0.11940864197530485</v>
      </c>
      <c r="D60" s="18">
        <f>('BFI Scores'!I60-'BFI Scores'!D60)^2</f>
        <v>2.8975604938271515</v>
      </c>
      <c r="E60" s="18">
        <f>('BFI Scores'!J60-'BFI Scores'!E60)^2</f>
        <v>4.1208999999999989</v>
      </c>
      <c r="F60" s="18">
        <f>('BFI Scores'!K60-'BFI Scores'!F60)^2</f>
        <v>1.2099999999999972E-2</v>
      </c>
      <c r="G60" s="18">
        <f>('BFI Scores'!L60-'BFI Scores'!B60)^2</f>
        <v>1.9599999999999997</v>
      </c>
      <c r="H60" s="18">
        <f>('BFI Scores'!M60-'BFI Scores'!C60)^2</f>
        <v>7.7779012345679799E-2</v>
      </c>
      <c r="I60" s="18">
        <f>('BFI Scores'!N60-'BFI Scores'!D60)^2</f>
        <v>2.9737086419753269</v>
      </c>
      <c r="J60" s="18">
        <f>('BFI Scores'!O60-'BFI Scores'!E60)^2</f>
        <v>2.9929000000000001</v>
      </c>
      <c r="K60" s="18">
        <f>('BFI Scores'!P60-'BFI Scores'!F60)^2</f>
        <v>0.51840000000000031</v>
      </c>
      <c r="L60" s="18">
        <f>('BFI Scores'!Q60-'BFI Scores'!B60)^2</f>
        <v>4.6764062500000003</v>
      </c>
      <c r="M60" s="18">
        <f>('BFI Scores'!R60-'BFI Scores'!C60)^2</f>
        <v>1.4938271604933171E-4</v>
      </c>
      <c r="N60" s="18">
        <f>('BFI Scores'!S60-'BFI Scores'!D60)^2</f>
        <v>2.7851901234567937</v>
      </c>
      <c r="O60" s="18">
        <f>('BFI Scores'!T60-'BFI Scores'!E60)^2</f>
        <v>5.0288062499999988</v>
      </c>
      <c r="P60" s="18">
        <f>('BFI Scores'!U60-'BFI Scores'!F60)^2</f>
        <v>0.72250000000000014</v>
      </c>
      <c r="Q60" s="18">
        <f>('BFI Scores'!V60-'BFI Scores'!B60)^2</f>
        <v>7.5625</v>
      </c>
      <c r="R60" s="18">
        <f>('BFI Scores'!W60-'BFI Scores'!C60)^2</f>
        <v>1.2593827160493379E-2</v>
      </c>
      <c r="S60" s="18">
        <f>('BFI Scores'!X60-'BFI Scores'!D60)^2</f>
        <v>2.711511111111121</v>
      </c>
      <c r="T60" s="18">
        <f>('BFI Scores'!Y60-'BFI Scores'!E60)^2</f>
        <v>4.0703062500000007</v>
      </c>
      <c r="U60" s="18">
        <f>('BFI Scores'!Z60-'BFI Scores'!F60)^2</f>
        <v>4.4099999999999986E-2</v>
      </c>
      <c r="V60" s="18">
        <f>('BFI Scores'!AA60-'BFI Scores'!B60)^2</f>
        <v>8.1225000000000005</v>
      </c>
      <c r="W60" s="18">
        <f>('BFI Scores'!AB60-'BFI Scores'!C60)^2</f>
        <v>0.22721111111110467</v>
      </c>
      <c r="X60" s="18">
        <f>('BFI Scores'!AC60-'BFI Scores'!D60)^2</f>
        <v>2.4963999999999986</v>
      </c>
      <c r="Y60" s="18">
        <f>('BFI Scores'!AD60-'BFI Scores'!E60)^2</f>
        <v>3.0363062499999991</v>
      </c>
      <c r="Z60" s="18">
        <f>('BFI Scores'!AE60-'BFI Scores'!F60)^2</f>
        <v>4.000000000000007E-2</v>
      </c>
      <c r="AA60" s="20">
        <f t="shared" si="5"/>
        <v>1.9911188271604909</v>
      </c>
      <c r="AB60" s="20">
        <f t="shared" si="6"/>
        <v>1.7045575308642014</v>
      </c>
      <c r="AC60" s="20">
        <f t="shared" si="7"/>
        <v>2.6426104012345686</v>
      </c>
      <c r="AD60" s="20">
        <f t="shared" si="8"/>
        <v>2.8802022376543235</v>
      </c>
      <c r="AE60" s="20">
        <f t="shared" si="9"/>
        <v>2.7844834722222207</v>
      </c>
    </row>
    <row r="61" spans="1:31" x14ac:dyDescent="0.2">
      <c r="A61" s="17">
        <v>53752</v>
      </c>
      <c r="B61" s="18">
        <f>('BFI Scores'!G61-'BFI Scores'!B61)^2</f>
        <v>0.10890000000000005</v>
      </c>
      <c r="C61" s="18">
        <f>('BFI Scores'!H61-'BFI Scores'!C61)^2</f>
        <v>4.0111111111119152E-3</v>
      </c>
      <c r="D61" s="18">
        <f>('BFI Scores'!I61-'BFI Scores'!D61)^2</f>
        <v>0.65610000000000013</v>
      </c>
      <c r="E61" s="18">
        <f>('BFI Scores'!J61-'BFI Scores'!E61)^2</f>
        <v>0.60839999999999972</v>
      </c>
      <c r="F61" s="18">
        <f>('BFI Scores'!K61-'BFI Scores'!F61)^2</f>
        <v>0.73959999999999981</v>
      </c>
      <c r="G61" s="18">
        <f>('BFI Scores'!L61-'BFI Scores'!B61)^2</f>
        <v>0.39689999999999986</v>
      </c>
      <c r="H61" s="18">
        <f>('BFI Scores'!M61-'BFI Scores'!C61)^2</f>
        <v>1.6899999999999971E-2</v>
      </c>
      <c r="I61" s="18">
        <f>('BFI Scores'!N61-'BFI Scores'!D61)^2</f>
        <v>0.78814938271605373</v>
      </c>
      <c r="J61" s="18">
        <f>('BFI Scores'!O61-'BFI Scores'!E61)^2</f>
        <v>0.26780625000000008</v>
      </c>
      <c r="K61" s="18">
        <f>('BFI Scores'!P61-'BFI Scores'!F61)^2</f>
        <v>0.92159999999999997</v>
      </c>
      <c r="L61" s="18">
        <f>('BFI Scores'!Q61-'BFI Scores'!B61)^2</f>
        <v>0.44555624999999999</v>
      </c>
      <c r="M61" s="18">
        <f>('BFI Scores'!R61-'BFI Scores'!C61)^2</f>
        <v>1.4134567901234763E-2</v>
      </c>
      <c r="N61" s="18">
        <f>('BFI Scores'!S61-'BFI Scores'!D61)^2</f>
        <v>0.99777901234568134</v>
      </c>
      <c r="O61" s="18">
        <f>('BFI Scores'!T61-'BFI Scores'!E61)^2</f>
        <v>0.24255624999999972</v>
      </c>
      <c r="P61" s="18">
        <f>('BFI Scores'!U61-'BFI Scores'!F61)^2</f>
        <v>1.7161000000000002</v>
      </c>
      <c r="Q61" s="18">
        <f>('BFI Scores'!V61-'BFI Scores'!B61)^2</f>
        <v>7.2900000000000006E-2</v>
      </c>
      <c r="R61" s="18">
        <f>('BFI Scores'!W61-'BFI Scores'!C61)^2</f>
        <v>2.0864197530850193E-4</v>
      </c>
      <c r="S61" s="18">
        <f>('BFI Scores'!X61-'BFI Scores'!D61)^2</f>
        <v>0.39970493827160242</v>
      </c>
      <c r="T61" s="18">
        <f>('BFI Scores'!Y61-'BFI Scores'!E61)^2</f>
        <v>0.81902499999999967</v>
      </c>
      <c r="U61" s="18">
        <f>('BFI Scores'!Z61-'BFI Scores'!F61)^2</f>
        <v>0.65610000000000013</v>
      </c>
      <c r="V61" s="18">
        <f>('BFI Scores'!AA61-'BFI Scores'!B61)^2</f>
        <v>2.4024999999999939E-2</v>
      </c>
      <c r="W61" s="18">
        <f>('BFI Scores'!AB61-'BFI Scores'!C61)^2</f>
        <v>2.3171604938271008E-2</v>
      </c>
      <c r="X61" s="18">
        <f>('BFI Scores'!AC61-'BFI Scores'!D61)^2</f>
        <v>6.4741975308639843E-2</v>
      </c>
      <c r="Y61" s="18">
        <f>('BFI Scores'!AD61-'BFI Scores'!E61)^2</f>
        <v>7.8399999999999886E-2</v>
      </c>
      <c r="Z61" s="18">
        <f>('BFI Scores'!AE61-'BFI Scores'!F61)^2</f>
        <v>0.82810000000000028</v>
      </c>
      <c r="AA61" s="20">
        <f t="shared" si="5"/>
        <v>0.42340222222222235</v>
      </c>
      <c r="AB61" s="20">
        <f t="shared" si="6"/>
        <v>0.47827112654321075</v>
      </c>
      <c r="AC61" s="20">
        <f t="shared" si="7"/>
        <v>0.68322521604938324</v>
      </c>
      <c r="AD61" s="20">
        <f t="shared" si="8"/>
        <v>0.38958771604938214</v>
      </c>
      <c r="AE61" s="20">
        <f t="shared" si="9"/>
        <v>0.20368771604938218</v>
      </c>
    </row>
    <row r="62" spans="1:31" x14ac:dyDescent="0.2">
      <c r="A62" s="17">
        <v>53791</v>
      </c>
      <c r="B62" s="18">
        <f>('BFI Scores'!G62-'BFI Scores'!B62)^2</f>
        <v>2.5043062500000013</v>
      </c>
      <c r="C62" s="18">
        <f>('BFI Scores'!H62-'BFI Scores'!C62)^2</f>
        <v>4.3634567901234611</v>
      </c>
      <c r="D62" s="18">
        <f>('BFI Scores'!I62-'BFI Scores'!D62)^2</f>
        <v>8.0908641975308946</v>
      </c>
      <c r="E62" s="18">
        <f>('BFI Scores'!J62-'BFI Scores'!E62)^2</f>
        <v>2.640625000000003E-2</v>
      </c>
      <c r="F62" s="18">
        <f>('BFI Scores'!K62-'BFI Scores'!F62)^2</f>
        <v>2.6569000000000011</v>
      </c>
      <c r="G62" s="18">
        <f>('BFI Scores'!L62-'BFI Scores'!B62)^2</f>
        <v>0.67240000000000044</v>
      </c>
      <c r="H62" s="18">
        <f>('BFI Scores'!M62-'BFI Scores'!C62)^2</f>
        <v>2.4197530864197665</v>
      </c>
      <c r="I62" s="18">
        <f>('BFI Scores'!N62-'BFI Scores'!D62)^2</f>
        <v>8.1541975308642236</v>
      </c>
      <c r="J62" s="18">
        <f>('BFI Scores'!O62-'BFI Scores'!E62)^2</f>
        <v>1.5625E-2</v>
      </c>
      <c r="K62" s="18">
        <f>('BFI Scores'!P62-'BFI Scores'!F62)^2</f>
        <v>1.8225000000000002</v>
      </c>
      <c r="L62" s="18">
        <f>('BFI Scores'!Q62-'BFI Scores'!B62)^2</f>
        <v>0.40005625000000034</v>
      </c>
      <c r="M62" s="18">
        <f>('BFI Scores'!R62-'BFI Scores'!C62)^2</f>
        <v>3.4019753086419953</v>
      </c>
      <c r="N62" s="18">
        <f>('BFI Scores'!S62-'BFI Scores'!D62)^2</f>
        <v>8.1541975308642236</v>
      </c>
      <c r="O62" s="18">
        <f>('BFI Scores'!T62-'BFI Scores'!E62)^2</f>
        <v>0.10562499999999997</v>
      </c>
      <c r="P62" s="18">
        <f>('BFI Scores'!U62-'BFI Scores'!F62)^2</f>
        <v>1.8496000000000008</v>
      </c>
      <c r="Q62" s="18">
        <f>('BFI Scores'!V62-'BFI Scores'!B62)^2</f>
        <v>2.6244000000000005</v>
      </c>
      <c r="R62" s="18">
        <f>('BFI Scores'!W62-'BFI Scores'!C62)^2</f>
        <v>4.7912345679012391</v>
      </c>
      <c r="S62" s="18">
        <f>('BFI Scores'!X62-'BFI Scores'!D62)^2</f>
        <v>8.2177777777777958</v>
      </c>
      <c r="T62" s="18">
        <f>('BFI Scores'!Y62-'BFI Scores'!E62)^2</f>
        <v>7.5624999999999956E-2</v>
      </c>
      <c r="U62" s="18">
        <f>('BFI Scores'!Z62-'BFI Scores'!F62)^2</f>
        <v>2.6569000000000011</v>
      </c>
      <c r="V62" s="18">
        <f>('BFI Scores'!AA62-'BFI Scores'!B62)^2</f>
        <v>2.5043062500000013</v>
      </c>
      <c r="W62" s="18">
        <f>('BFI Scores'!AB62-'BFI Scores'!C62)^2</f>
        <v>5.1377777777777469</v>
      </c>
      <c r="X62" s="18">
        <f>('BFI Scores'!AC62-'BFI Scores'!D62)^2</f>
        <v>8.2177777777777958</v>
      </c>
      <c r="Y62" s="18">
        <f>('BFI Scores'!AD62-'BFI Scores'!E62)^2</f>
        <v>3.9006250000000002</v>
      </c>
      <c r="Z62" s="18">
        <f>('BFI Scores'!AE62-'BFI Scores'!F62)^2</f>
        <v>3.7636000000000016</v>
      </c>
      <c r="AA62" s="20">
        <f t="shared" si="5"/>
        <v>3.528386697530872</v>
      </c>
      <c r="AB62" s="20">
        <f t="shared" si="6"/>
        <v>2.6168951234567981</v>
      </c>
      <c r="AC62" s="20">
        <f t="shared" si="7"/>
        <v>2.7822908179012442</v>
      </c>
      <c r="AD62" s="20">
        <f t="shared" si="8"/>
        <v>3.6731874691358071</v>
      </c>
      <c r="AE62" s="20">
        <f t="shared" si="9"/>
        <v>4.7048173611111093</v>
      </c>
    </row>
    <row r="63" spans="1:31" x14ac:dyDescent="0.2">
      <c r="A63" s="17">
        <v>54018</v>
      </c>
      <c r="B63" s="18">
        <f>('BFI Scores'!G63-'BFI Scores'!B63)^2</f>
        <v>0.77439999999999987</v>
      </c>
      <c r="C63" s="18">
        <f>('BFI Scores'!H63-'BFI Scores'!C63)^2</f>
        <v>3.8415999999999979</v>
      </c>
      <c r="D63" s="18">
        <f>('BFI Scores'!I63-'BFI Scores'!D63)^2</f>
        <v>1.681344444444453</v>
      </c>
      <c r="E63" s="18">
        <f>('BFI Scores'!J63-'BFI Scores'!E63)^2</f>
        <v>1.265625000000001E-2</v>
      </c>
      <c r="F63" s="18">
        <f>('BFI Scores'!K63-'BFI Scores'!F63)^2</f>
        <v>3.168400000000001</v>
      </c>
      <c r="G63" s="18">
        <f>('BFI Scores'!L63-'BFI Scores'!B63)^2</f>
        <v>0.77439999999999987</v>
      </c>
      <c r="H63" s="18">
        <f>('BFI Scores'!M63-'BFI Scores'!C63)^2</f>
        <v>2.0353777777777857</v>
      </c>
      <c r="I63" s="18">
        <f>('BFI Scores'!N63-'BFI Scores'!D63)^2</f>
        <v>1.7394679012345706</v>
      </c>
      <c r="J63" s="18">
        <f>('BFI Scores'!O63-'BFI Scores'!E63)^2</f>
        <v>0.5625</v>
      </c>
      <c r="K63" s="18">
        <f>('BFI Scores'!P63-'BFI Scores'!F63)^2</f>
        <v>2.3409000000000009</v>
      </c>
      <c r="L63" s="18">
        <f>('BFI Scores'!Q63-'BFI Scores'!B63)^2</f>
        <v>0.88830624999999985</v>
      </c>
      <c r="M63" s="18">
        <f>('BFI Scores'!R63-'BFI Scores'!C63)^2</f>
        <v>1.4775753086419849</v>
      </c>
      <c r="N63" s="18">
        <f>('BFI Scores'!S63-'BFI Scores'!D63)^2</f>
        <v>1.9506777777777873</v>
      </c>
      <c r="O63" s="18">
        <f>('BFI Scores'!T63-'BFI Scores'!E63)^2</f>
        <v>0.21390624999999991</v>
      </c>
      <c r="P63" s="18">
        <f>('BFI Scores'!U63-'BFI Scores'!F63)^2</f>
        <v>2.0449000000000006</v>
      </c>
      <c r="Q63" s="18">
        <f>('BFI Scores'!V63-'BFI Scores'!B63)^2</f>
        <v>0.28089999999999982</v>
      </c>
      <c r="R63" s="18">
        <f>('BFI Scores'!W63-'BFI Scores'!C63)^2</f>
        <v>4.3356493827160385</v>
      </c>
      <c r="S63" s="18">
        <f>('BFI Scores'!X63-'BFI Scores'!D63)^2</f>
        <v>1.9506777777777873</v>
      </c>
      <c r="T63" s="18">
        <f>('BFI Scores'!Y63-'BFI Scores'!E63)^2</f>
        <v>0.30250000000000005</v>
      </c>
      <c r="U63" s="18">
        <f>('BFI Scores'!Z63-'BFI Scores'!F63)^2</f>
        <v>1.7424000000000008</v>
      </c>
      <c r="V63" s="18">
        <f>('BFI Scores'!AA63-'BFI Scores'!B63)^2</f>
        <v>0.26780625000000008</v>
      </c>
      <c r="W63" s="18">
        <f>('BFI Scores'!AB63-'BFI Scores'!C63)^2</f>
        <v>4.5227111111111231</v>
      </c>
      <c r="X63" s="18">
        <f>('BFI Scores'!AC63-'BFI Scores'!D63)^2</f>
        <v>3.4307271604938188</v>
      </c>
      <c r="Y63" s="18">
        <f>('BFI Scores'!AD63-'BFI Scores'!E63)^2</f>
        <v>1.7889062499999997</v>
      </c>
      <c r="Z63" s="18">
        <f>('BFI Scores'!AE63-'BFI Scores'!F63)^2</f>
        <v>1.2544000000000002</v>
      </c>
      <c r="AA63" s="20">
        <f t="shared" si="5"/>
        <v>1.8956801388888906</v>
      </c>
      <c r="AB63" s="20">
        <f t="shared" si="6"/>
        <v>1.4905291358024715</v>
      </c>
      <c r="AC63" s="20">
        <f t="shared" si="7"/>
        <v>1.3150731172839545</v>
      </c>
      <c r="AD63" s="20">
        <f t="shared" si="8"/>
        <v>1.7224254320987655</v>
      </c>
      <c r="AE63" s="20">
        <f t="shared" si="9"/>
        <v>2.2529101543209888</v>
      </c>
    </row>
    <row r="64" spans="1:31" x14ac:dyDescent="0.2">
      <c r="A64" s="17">
        <v>55131</v>
      </c>
      <c r="B64" s="18">
        <f>('BFI Scores'!G64-'BFI Scores'!B64)^2</f>
        <v>0.17430625</v>
      </c>
      <c r="C64" s="18">
        <f>('BFI Scores'!H64-'BFI Scores'!C64)^2</f>
        <v>1.0022234567901203</v>
      </c>
      <c r="D64" s="18">
        <f>('BFI Scores'!I64-'BFI Scores'!D64)^2</f>
        <v>4.1344444444444317</v>
      </c>
      <c r="E64" s="18">
        <f>('BFI Scores'!J64-'BFI Scores'!E64)^2</f>
        <v>7.9806250000000106E-2</v>
      </c>
      <c r="F64" s="18">
        <f>('BFI Scores'!K64-'BFI Scores'!F64)^2</f>
        <v>1.2100000000000002</v>
      </c>
      <c r="G64" s="18">
        <f>('BFI Scores'!L64-'BFI Scores'!B64)^2</f>
        <v>1.1664000000000001</v>
      </c>
      <c r="H64" s="18">
        <f>('BFI Scores'!M64-'BFI Scores'!C64)^2</f>
        <v>1.72192716049382</v>
      </c>
      <c r="I64" s="18">
        <f>('BFI Scores'!N64-'BFI Scores'!D64)^2</f>
        <v>6.3056790123456743</v>
      </c>
      <c r="J64" s="18">
        <f>('BFI Scores'!O64-'BFI Scores'!E64)^2</f>
        <v>0.32490000000000008</v>
      </c>
      <c r="K64" s="18">
        <f>('BFI Scores'!P64-'BFI Scores'!F64)^2</f>
        <v>1.2100000000000002</v>
      </c>
      <c r="L64" s="18">
        <f>('BFI Scores'!Q64-'BFI Scores'!B64)^2</f>
        <v>0.64802499999999952</v>
      </c>
      <c r="M64" s="18">
        <f>('BFI Scores'!R64-'BFI Scores'!C64)^2</f>
        <v>1.9631123456790089</v>
      </c>
      <c r="N64" s="18">
        <f>('BFI Scores'!S64-'BFI Scores'!D64)^2</f>
        <v>7.839999999999999</v>
      </c>
      <c r="O64" s="18">
        <f>('BFI Scores'!T64-'BFI Scores'!E64)^2</f>
        <v>0.77880625000000048</v>
      </c>
      <c r="P64" s="18">
        <f>('BFI Scores'!U64-'BFI Scores'!F64)^2</f>
        <v>1.0201000000000005</v>
      </c>
      <c r="Q64" s="18">
        <f>('BFI Scores'!V64-'BFI Scores'!B64)^2</f>
        <v>6.630625000000015E-2</v>
      </c>
      <c r="R64" s="18">
        <f>('BFI Scores'!W64-'BFI Scores'!C64)^2</f>
        <v>0.44592716049383013</v>
      </c>
      <c r="S64" s="18">
        <f>('BFI Scores'!X64-'BFI Scores'!D64)^2</f>
        <v>6.1393827160493943</v>
      </c>
      <c r="T64" s="18">
        <f>('BFI Scores'!Y64-'BFI Scores'!E64)^2</f>
        <v>0.10240000000000005</v>
      </c>
      <c r="U64" s="18">
        <f>('BFI Scores'!Z64-'BFI Scores'!F64)^2</f>
        <v>0.84640000000000071</v>
      </c>
      <c r="V64" s="18">
        <f>('BFI Scores'!AA64-'BFI Scores'!B64)^2</f>
        <v>0.86489999999999945</v>
      </c>
      <c r="W64" s="18">
        <f>('BFI Scores'!AB64-'BFI Scores'!C64)^2</f>
        <v>1.4965444444444354</v>
      </c>
      <c r="X64" s="18">
        <f>('BFI Scores'!AC64-'BFI Scores'!D64)^2</f>
        <v>3.7377777777777648</v>
      </c>
      <c r="Y64" s="18">
        <f>('BFI Scores'!AD64-'BFI Scores'!E64)^2</f>
        <v>0.61230625000000027</v>
      </c>
      <c r="Z64" s="18">
        <f>('BFI Scores'!AE64-'BFI Scores'!F64)^2</f>
        <v>0.82810000000000028</v>
      </c>
      <c r="AA64" s="20">
        <f t="shared" si="5"/>
        <v>1.3201560802469103</v>
      </c>
      <c r="AB64" s="20">
        <f t="shared" si="6"/>
        <v>2.1457812345678988</v>
      </c>
      <c r="AC64" s="20">
        <f t="shared" si="7"/>
        <v>2.450008719135802</v>
      </c>
      <c r="AD64" s="20">
        <f t="shared" si="8"/>
        <v>1.5200832253086451</v>
      </c>
      <c r="AE64" s="20">
        <f t="shared" si="9"/>
        <v>1.5079256944444399</v>
      </c>
    </row>
    <row r="65" spans="1:31" x14ac:dyDescent="0.2">
      <c r="A65" s="17">
        <v>55894</v>
      </c>
      <c r="B65" s="18">
        <f>('BFI Scores'!G65-'BFI Scores'!B65)^2</f>
        <v>0.5439062499999997</v>
      </c>
      <c r="C65" s="18">
        <f>('BFI Scores'!H65-'BFI Scores'!C65)^2</f>
        <v>0.23468641975308191</v>
      </c>
      <c r="D65" s="18">
        <f>('BFI Scores'!I65-'BFI Scores'!D65)^2</f>
        <v>0.40676049382716362</v>
      </c>
      <c r="E65" s="18">
        <f>('BFI Scores'!J65-'BFI Scores'!E65)^2</f>
        <v>2.9498062499999995</v>
      </c>
      <c r="F65" s="18">
        <f>('BFI Scores'!K65-'BFI Scores'!F65)^2</f>
        <v>0.50409999999999999</v>
      </c>
      <c r="G65" s="18">
        <f>('BFI Scores'!L65-'BFI Scores'!B65)^2</f>
        <v>0.50765624999999992</v>
      </c>
      <c r="H65" s="18">
        <f>('BFI Scores'!M65-'BFI Scores'!C65)^2</f>
        <v>0.14779753086420175</v>
      </c>
      <c r="I65" s="18">
        <f>('BFI Scores'!N65-'BFI Scores'!D65)^2</f>
        <v>0.21159999999999995</v>
      </c>
      <c r="J65" s="18">
        <f>('BFI Scores'!O65-'BFI Scores'!E65)^2</f>
        <v>4.2745562499999998</v>
      </c>
      <c r="K65" s="18">
        <f>('BFI Scores'!P65-'BFI Scores'!F65)^2</f>
        <v>0.47609999999999991</v>
      </c>
      <c r="L65" s="18">
        <f>('BFI Scores'!Q65-'BFI Scores'!B65)^2</f>
        <v>0.42249999999999988</v>
      </c>
      <c r="M65" s="18">
        <f>('BFI Scores'!R65-'BFI Scores'!C65)^2</f>
        <v>0.46846419753085805</v>
      </c>
      <c r="N65" s="18">
        <f>('BFI Scores'!S65-'BFI Scores'!D65)^2</f>
        <v>0.19359999999999997</v>
      </c>
      <c r="O65" s="18">
        <f>('BFI Scores'!T65-'BFI Scores'!E65)^2</f>
        <v>4.5368999999999993</v>
      </c>
      <c r="P65" s="18">
        <f>('BFI Scores'!U65-'BFI Scores'!F65)^2</f>
        <v>0.25</v>
      </c>
      <c r="Q65" s="18">
        <f>('BFI Scores'!V65-'BFI Scores'!B65)^2</f>
        <v>1.5006250000000003</v>
      </c>
      <c r="R65" s="18">
        <f>('BFI Scores'!W65-'BFI Scores'!C65)^2</f>
        <v>0.12327901234567826</v>
      </c>
      <c r="S65" s="18">
        <f>('BFI Scores'!X65-'BFI Scores'!D65)^2</f>
        <v>0.33898271604938063</v>
      </c>
      <c r="T65" s="18">
        <f>('BFI Scores'!Y65-'BFI Scores'!E65)^2</f>
        <v>2.2275562499999992</v>
      </c>
      <c r="U65" s="18">
        <f>('BFI Scores'!Z65-'BFI Scores'!F65)^2</f>
        <v>1.0816000000000001</v>
      </c>
      <c r="V65" s="18">
        <f>('BFI Scores'!AA65-'BFI Scores'!B65)^2</f>
        <v>2.3639062500000003</v>
      </c>
      <c r="W65" s="18">
        <f>('BFI Scores'!AB65-'BFI Scores'!C65)^2</f>
        <v>2.3901234567902194E-3</v>
      </c>
      <c r="X65" s="18">
        <f>('BFI Scores'!AC65-'BFI Scores'!D65)^2</f>
        <v>2.927901234567859E-2</v>
      </c>
      <c r="Y65" s="18">
        <f>('BFI Scores'!AD65-'BFI Scores'!E65)^2</f>
        <v>7.8399999999999886E-2</v>
      </c>
      <c r="Z65" s="18">
        <f>('BFI Scores'!AE65-'BFI Scores'!F65)^2</f>
        <v>1.6383999999999994</v>
      </c>
      <c r="AA65" s="20">
        <f t="shared" si="5"/>
        <v>0.9278518827160489</v>
      </c>
      <c r="AB65" s="20">
        <f t="shared" si="6"/>
        <v>1.1235420061728403</v>
      </c>
      <c r="AC65" s="20">
        <f t="shared" si="7"/>
        <v>1.1742928395061714</v>
      </c>
      <c r="AD65" s="20">
        <f t="shared" si="8"/>
        <v>1.0544085956790117</v>
      </c>
      <c r="AE65" s="20">
        <f t="shared" si="9"/>
        <v>0.82247507716049362</v>
      </c>
    </row>
    <row r="66" spans="1:31" x14ac:dyDescent="0.2">
      <c r="A66" s="17">
        <v>57332</v>
      </c>
      <c r="B66" s="18">
        <f>('BFI Scores'!G66-'BFI Scores'!B66)^2</f>
        <v>4.000000000000007E-2</v>
      </c>
      <c r="C66" s="18">
        <f>('BFI Scores'!H66-'BFI Scores'!C66)^2</f>
        <v>0.98671111111110377</v>
      </c>
      <c r="D66" s="18">
        <f>('BFI Scores'!I66-'BFI Scores'!D66)^2</f>
        <v>5.0775111111110958</v>
      </c>
      <c r="E66" s="18">
        <f>('BFI Scores'!J66-'BFI Scores'!E66)^2</f>
        <v>6.25E-2</v>
      </c>
      <c r="F66" s="18">
        <f>('BFI Scores'!K66-'BFI Scores'!F66)^2</f>
        <v>3.0975999999999995</v>
      </c>
      <c r="G66" s="18">
        <f>('BFI Scores'!L66-'BFI Scores'!B66)^2</f>
        <v>3.515625E-2</v>
      </c>
      <c r="H66" s="18">
        <f>('BFI Scores'!M66-'BFI Scores'!C66)^2</f>
        <v>0.40676049382716306</v>
      </c>
      <c r="I66" s="18">
        <f>('BFI Scores'!N66-'BFI Scores'!D66)^2</f>
        <v>5.5381777777777614</v>
      </c>
      <c r="J66" s="18">
        <f>('BFI Scores'!O66-'BFI Scores'!E66)^2</f>
        <v>8.2656250000000056E-2</v>
      </c>
      <c r="K66" s="18">
        <f>('BFI Scores'!P66-'BFI Scores'!F66)^2</f>
        <v>3.1329000000000002</v>
      </c>
      <c r="L66" s="18">
        <f>('BFI Scores'!Q66-'BFI Scores'!B66)^2</f>
        <v>1.0000000000000018E-2</v>
      </c>
      <c r="M66" s="18">
        <f>('BFI Scores'!R66-'BFI Scores'!C66)^2</f>
        <v>1.5875999999999995</v>
      </c>
      <c r="N66" s="18">
        <f>('BFI Scores'!S66-'BFI Scores'!D66)^2</f>
        <v>5.7493382716049473</v>
      </c>
      <c r="O66" s="18">
        <f>('BFI Scores'!T66-'BFI Scores'!E66)^2</f>
        <v>9.765625E-2</v>
      </c>
      <c r="P66" s="18">
        <f>('BFI Scores'!U66-'BFI Scores'!F66)^2</f>
        <v>3.3855999999999993</v>
      </c>
      <c r="Q66" s="18">
        <f>('BFI Scores'!V66-'BFI Scores'!B66)^2</f>
        <v>0.40640625000000025</v>
      </c>
      <c r="R66" s="18">
        <f>('BFI Scores'!W66-'BFI Scores'!C66)^2</f>
        <v>0.36535308641974706</v>
      </c>
      <c r="S66" s="18">
        <f>('BFI Scores'!X66-'BFI Scores'!D66)^2</f>
        <v>5.6432641975308346</v>
      </c>
      <c r="T66" s="18">
        <f>('BFI Scores'!Y66-'BFI Scores'!E66)^2</f>
        <v>1.8906249999999989E-2</v>
      </c>
      <c r="U66" s="18">
        <f>('BFI Scores'!Z66-'BFI Scores'!F66)^2</f>
        <v>2.3104</v>
      </c>
      <c r="V66" s="18">
        <f>('BFI Scores'!AA66-'BFI Scores'!B66)^2</f>
        <v>0.5625</v>
      </c>
      <c r="W66" s="18">
        <f>('BFI Scores'!AB66-'BFI Scores'!C66)^2</f>
        <v>1.5875999999999995</v>
      </c>
      <c r="X66" s="18">
        <f>('BFI Scores'!AC66-'BFI Scores'!D66)^2</f>
        <v>5.696177777777744</v>
      </c>
      <c r="Y66" s="18">
        <f>('BFI Scores'!AD66-'BFI Scores'!E66)^2</f>
        <v>2.5000000000000044E-3</v>
      </c>
      <c r="Z66" s="18">
        <f>('BFI Scores'!AE66-'BFI Scores'!F66)^2</f>
        <v>3.9203999999999999</v>
      </c>
      <c r="AA66" s="20">
        <f t="shared" ref="AA66:AA100" si="10">AVERAGE(B66:F66)</f>
        <v>1.85286444444444</v>
      </c>
      <c r="AB66" s="20">
        <f t="shared" ref="AB66:AB100" si="11">AVERAGE(G66:K66)</f>
        <v>1.8391301543209848</v>
      </c>
      <c r="AC66" s="20">
        <f t="shared" ref="AC66:AC100" si="12">AVERAGE(L66:P66)</f>
        <v>2.1660389043209891</v>
      </c>
      <c r="AD66" s="20">
        <f t="shared" ref="AD66:AD100" si="13">AVERAGE(Q66:U66)</f>
        <v>1.7488659567901164</v>
      </c>
      <c r="AE66" s="20">
        <f t="shared" ref="AE66:AE100" si="14">AVERAGE(V66:Z66)</f>
        <v>2.3538355555555488</v>
      </c>
    </row>
    <row r="67" spans="1:31" x14ac:dyDescent="0.2">
      <c r="A67" s="17">
        <v>59662</v>
      </c>
      <c r="B67" s="18">
        <f>('BFI Scores'!G67-'BFI Scores'!B67)^2</f>
        <v>0.1958062499999999</v>
      </c>
      <c r="C67" s="18">
        <f>('BFI Scores'!H67-'BFI Scores'!C67)^2</f>
        <v>7.4711111111115044E-2</v>
      </c>
      <c r="D67" s="18">
        <f>('BFI Scores'!I67-'BFI Scores'!D67)^2</f>
        <v>0.47763456790123288</v>
      </c>
      <c r="E67" s="18">
        <f>('BFI Scores'!J67-'BFI Scores'!E67)^2</f>
        <v>2.1903999999999999</v>
      </c>
      <c r="F67" s="18">
        <f>('BFI Scores'!K67-'BFI Scores'!F67)^2</f>
        <v>0.44889999999999991</v>
      </c>
      <c r="G67" s="18">
        <f>('BFI Scores'!L67-'BFI Scores'!B67)^2</f>
        <v>0.39689999999999986</v>
      </c>
      <c r="H67" s="18">
        <f>('BFI Scores'!M67-'BFI Scores'!C67)^2</f>
        <v>3.0044444444443368E-2</v>
      </c>
      <c r="I67" s="18">
        <f>('BFI Scores'!N67-'BFI Scores'!D67)^2</f>
        <v>0.23039999999999999</v>
      </c>
      <c r="J67" s="18">
        <f>('BFI Scores'!O67-'BFI Scores'!E67)^2</f>
        <v>2.2275562499999992</v>
      </c>
      <c r="K67" s="18">
        <f>('BFI Scores'!P67-'BFI Scores'!F67)^2</f>
        <v>0.5625</v>
      </c>
      <c r="L67" s="18">
        <f>('BFI Scores'!Q67-'BFI Scores'!B67)^2</f>
        <v>0.39689999999999986</v>
      </c>
      <c r="M67" s="18">
        <f>('BFI Scores'!R67-'BFI Scores'!C67)^2</f>
        <v>1.3353086419753976E-2</v>
      </c>
      <c r="N67" s="18">
        <f>('BFI Scores'!S67-'BFI Scores'!D67)^2</f>
        <v>0.18015308641975777</v>
      </c>
      <c r="O67" s="18">
        <f>('BFI Scores'!T67-'BFI Scores'!E67)^2</f>
        <v>1.7358062499999998</v>
      </c>
      <c r="P67" s="18">
        <f>('BFI Scores'!U67-'BFI Scores'!F67)^2</f>
        <v>1.3224999999999998</v>
      </c>
      <c r="Q67" s="18">
        <f>('BFI Scores'!V67-'BFI Scores'!B67)^2</f>
        <v>2.0306250000000019E-2</v>
      </c>
      <c r="R67" s="18">
        <f>('BFI Scores'!W67-'BFI Scores'!C67)^2</f>
        <v>8.3456790123467492E-4</v>
      </c>
      <c r="S67" s="18">
        <f>('BFI Scores'!X67-'BFI Scores'!D67)^2</f>
        <v>0.46239999999999959</v>
      </c>
      <c r="T67" s="18">
        <f>('BFI Scores'!Y67-'BFI Scores'!E67)^2</f>
        <v>2.2275562499999992</v>
      </c>
      <c r="U67" s="18">
        <f>('BFI Scores'!Z67-'BFI Scores'!F67)^2</f>
        <v>0.34809999999999985</v>
      </c>
      <c r="V67" s="18">
        <f>('BFI Scores'!AA67-'BFI Scores'!B67)^2</f>
        <v>9.4556250000000064E-2</v>
      </c>
      <c r="W67" s="18">
        <f>('BFI Scores'!AB67-'BFI Scores'!C67)^2</f>
        <v>4.7427160493828446E-2</v>
      </c>
      <c r="X67" s="18">
        <f>('BFI Scores'!AC67-'BFI Scores'!D67)^2</f>
        <v>0.40393086419753632</v>
      </c>
      <c r="Y67" s="18">
        <f>('BFI Scores'!AD67-'BFI Scores'!E67)^2</f>
        <v>3.3489000000000004</v>
      </c>
      <c r="Z67" s="18">
        <f>('BFI Scores'!AE67-'BFI Scores'!F67)^2</f>
        <v>4.4099999999999986E-2</v>
      </c>
      <c r="AA67" s="20">
        <f t="shared" si="10"/>
        <v>0.67749038580246956</v>
      </c>
      <c r="AB67" s="20">
        <f t="shared" si="11"/>
        <v>0.68948013888888848</v>
      </c>
      <c r="AC67" s="20">
        <f t="shared" si="12"/>
        <v>0.72974248456790225</v>
      </c>
      <c r="AD67" s="20">
        <f t="shared" si="13"/>
        <v>0.61183941358024663</v>
      </c>
      <c r="AE67" s="20">
        <f t="shared" si="14"/>
        <v>0.78778285493827294</v>
      </c>
    </row>
    <row r="68" spans="1:31" x14ac:dyDescent="0.2">
      <c r="A68" s="17">
        <v>63408</v>
      </c>
      <c r="B68" s="18">
        <f>('BFI Scores'!G68-'BFI Scores'!B68)^2</f>
        <v>8.3088062500000017</v>
      </c>
      <c r="C68" s="18">
        <f>('BFI Scores'!H68-'BFI Scores'!C68)^2</f>
        <v>0.45487530864196896</v>
      </c>
      <c r="D68" s="18">
        <f>('BFI Scores'!I68-'BFI Scores'!D68)^2</f>
        <v>1.0382716049381097E-3</v>
      </c>
      <c r="E68" s="18">
        <f>('BFI Scores'!J68-'BFI Scores'!E68)^2</f>
        <v>0.92640624999999988</v>
      </c>
      <c r="F68" s="18">
        <f>('BFI Scores'!K68-'BFI Scores'!F68)^2</f>
        <v>0.80999999999999983</v>
      </c>
      <c r="G68" s="18">
        <f>('BFI Scores'!L68-'BFI Scores'!B68)^2</f>
        <v>7.8820562500000007</v>
      </c>
      <c r="H68" s="18">
        <f>('BFI Scores'!M68-'BFI Scores'!C68)^2</f>
        <v>0.45487530864196896</v>
      </c>
      <c r="I68" s="18">
        <f>('BFI Scores'!N68-'BFI Scores'!D68)^2</f>
        <v>6.223456790123651E-3</v>
      </c>
      <c r="J68" s="18">
        <f>('BFI Scores'!O68-'BFI Scores'!E68)^2</f>
        <v>0.43890625000000011</v>
      </c>
      <c r="K68" s="18">
        <f>('BFI Scores'!P68-'BFI Scores'!F68)^2</f>
        <v>0.51840000000000031</v>
      </c>
      <c r="L68" s="18">
        <f>('BFI Scores'!Q68-'BFI Scores'!B68)^2</f>
        <v>4.2849000000000013</v>
      </c>
      <c r="M68" s="18">
        <f>('BFI Scores'!R68-'BFI Scores'!C68)^2</f>
        <v>0.35601111111110373</v>
      </c>
      <c r="N68" s="18">
        <f>('BFI Scores'!S68-'BFI Scores'!D68)^2</f>
        <v>1.2345679012319934E-6</v>
      </c>
      <c r="O68" s="18">
        <f>('BFI Scores'!T68-'BFI Scores'!E68)^2</f>
        <v>0.31640625</v>
      </c>
      <c r="P68" s="18">
        <f>('BFI Scores'!U68-'BFI Scores'!F68)^2</f>
        <v>0.53289999999999993</v>
      </c>
      <c r="Q68" s="18">
        <f>('BFI Scores'!V68-'BFI Scores'!B68)^2</f>
        <v>8.2369000000000003</v>
      </c>
      <c r="R68" s="18">
        <f>('BFI Scores'!W68-'BFI Scores'!C68)^2</f>
        <v>0.4699864197530787</v>
      </c>
      <c r="S68" s="18">
        <f>('BFI Scores'!X68-'BFI Scores'!D68)^2</f>
        <v>7.1704938271606192E-2</v>
      </c>
      <c r="T68" s="18">
        <f>('BFI Scores'!Y68-'BFI Scores'!E68)^2</f>
        <v>0.47265625</v>
      </c>
      <c r="U68" s="18">
        <f>('BFI Scores'!Z68-'BFI Scores'!F68)^2</f>
        <v>0.80999999999999983</v>
      </c>
      <c r="V68" s="18">
        <f>('BFI Scores'!AA68-'BFI Scores'!B68)^2</f>
        <v>3.0015562499999997</v>
      </c>
      <c r="W68" s="18">
        <f>('BFI Scores'!AB68-'BFI Scores'!C68)^2</f>
        <v>1.9912345679012053E-2</v>
      </c>
      <c r="X68" s="18">
        <f>('BFI Scores'!AC68-'BFI Scores'!D68)^2</f>
        <v>0.58948271604938629</v>
      </c>
      <c r="Y68" s="18">
        <f>('BFI Scores'!AD68-'BFI Scores'!E68)^2</f>
        <v>0.12250000000000007</v>
      </c>
      <c r="Z68" s="18">
        <f>('BFI Scores'!AE68-'BFI Scores'!F68)^2</f>
        <v>0.24009999999999979</v>
      </c>
      <c r="AA68" s="20">
        <f t="shared" si="10"/>
        <v>2.1002252160493819</v>
      </c>
      <c r="AB68" s="20">
        <f t="shared" si="11"/>
        <v>1.8600922530864188</v>
      </c>
      <c r="AC68" s="20">
        <f t="shared" si="12"/>
        <v>1.0980437191358012</v>
      </c>
      <c r="AD68" s="20">
        <f t="shared" si="13"/>
        <v>2.0122495216049372</v>
      </c>
      <c r="AE68" s="20">
        <f t="shared" si="14"/>
        <v>0.79471026234567965</v>
      </c>
    </row>
    <row r="69" spans="1:31" x14ac:dyDescent="0.2">
      <c r="A69" s="17">
        <v>63666</v>
      </c>
      <c r="B69" s="18">
        <f>('BFI Scores'!G69-'BFI Scores'!B69)^2</f>
        <v>0.28890625000000009</v>
      </c>
      <c r="C69" s="18">
        <f>('BFI Scores'!H69-'BFI Scores'!C69)^2</f>
        <v>3.1328999999999985</v>
      </c>
      <c r="D69" s="18">
        <f>('BFI Scores'!I69-'BFI Scores'!D69)^2</f>
        <v>0.46391234567901096</v>
      </c>
      <c r="E69" s="18">
        <f>('BFI Scores'!J69-'BFI Scores'!E69)^2</f>
        <v>8.9550562499999984</v>
      </c>
      <c r="F69" s="18">
        <f>('BFI Scores'!K69-'BFI Scores'!F69)^2</f>
        <v>1.1880999999999997</v>
      </c>
      <c r="G69" s="18">
        <f>('BFI Scores'!L69-'BFI Scores'!B69)^2</f>
        <v>0.25</v>
      </c>
      <c r="H69" s="18">
        <f>('BFI Scores'!M69-'BFI Scores'!C69)^2</f>
        <v>3.8808999999999991</v>
      </c>
      <c r="I69" s="18">
        <f>('BFI Scores'!N69-'BFI Scores'!D69)^2</f>
        <v>0.46391234567901096</v>
      </c>
      <c r="J69" s="18">
        <f>('BFI Scores'!O69-'BFI Scores'!E69)^2</f>
        <v>8.4390249999999991</v>
      </c>
      <c r="K69" s="18">
        <f>('BFI Scores'!P69-'BFI Scores'!F69)^2</f>
        <v>1.2320999999999998</v>
      </c>
      <c r="L69" s="18">
        <f>('BFI Scores'!Q69-'BFI Scores'!B69)^2</f>
        <v>0.9025000000000003</v>
      </c>
      <c r="M69" s="18">
        <f>('BFI Scores'!R69-'BFI Scores'!C69)^2</f>
        <v>3.1723567901234522</v>
      </c>
      <c r="N69" s="18">
        <f>('BFI Scores'!S69-'BFI Scores'!D69)^2</f>
        <v>0.44889999999999991</v>
      </c>
      <c r="O69" s="18">
        <f>('BFI Scores'!T69-'BFI Scores'!E69)^2</f>
        <v>6.9168999999999992</v>
      </c>
      <c r="P69" s="18">
        <f>('BFI Scores'!U69-'BFI Scores'!F69)^2</f>
        <v>1.9599999999999997</v>
      </c>
      <c r="Q69" s="18">
        <f>('BFI Scores'!V69-'BFI Scores'!B69)^2</f>
        <v>0.390625</v>
      </c>
      <c r="R69" s="18">
        <f>('BFI Scores'!W69-'BFI Scores'!C69)^2</f>
        <v>3.9248012345678966</v>
      </c>
      <c r="S69" s="18">
        <f>('BFI Scores'!X69-'BFI Scores'!D69)^2</f>
        <v>0.59289999999999932</v>
      </c>
      <c r="T69" s="18">
        <f>('BFI Scores'!Y69-'BFI Scores'!E69)^2</f>
        <v>8.4390249999999991</v>
      </c>
      <c r="U69" s="18">
        <f>('BFI Scores'!Z69-'BFI Scores'!F69)^2</f>
        <v>0.63999999999999968</v>
      </c>
      <c r="V69" s="18">
        <f>('BFI Scores'!AA69-'BFI Scores'!B69)^2</f>
        <v>0.25</v>
      </c>
      <c r="W69" s="18">
        <f>('BFI Scores'!AB69-'BFI Scores'!C69)^2</f>
        <v>3.6226777777777643</v>
      </c>
      <c r="X69" s="18">
        <f>('BFI Scores'!AC69-'BFI Scores'!D69)^2</f>
        <v>0.54267777777778259</v>
      </c>
      <c r="Y69" s="18">
        <f>('BFI Scores'!AD69-'BFI Scores'!E69)^2</f>
        <v>6.4008999999999991</v>
      </c>
      <c r="Z69" s="18">
        <f>('BFI Scores'!AE69-'BFI Scores'!F69)^2</f>
        <v>1</v>
      </c>
      <c r="AA69" s="20">
        <f t="shared" si="10"/>
        <v>2.8057749691358014</v>
      </c>
      <c r="AB69" s="20">
        <f t="shared" si="11"/>
        <v>2.8531874691358015</v>
      </c>
      <c r="AC69" s="20">
        <f t="shared" si="12"/>
        <v>2.6801313580246902</v>
      </c>
      <c r="AD69" s="20">
        <f t="shared" si="13"/>
        <v>2.797470246913579</v>
      </c>
      <c r="AE69" s="20">
        <f t="shared" si="14"/>
        <v>2.3632511111111092</v>
      </c>
    </row>
    <row r="70" spans="1:31" x14ac:dyDescent="0.2">
      <c r="A70" s="17">
        <v>65682</v>
      </c>
      <c r="B70" s="18">
        <f>('BFI Scores'!G70-'BFI Scores'!B70)^2</f>
        <v>0.81902499999999967</v>
      </c>
      <c r="C70" s="18">
        <f>('BFI Scores'!H70-'BFI Scores'!C70)^2</f>
        <v>0.17733456790123392</v>
      </c>
      <c r="D70" s="18">
        <f>('BFI Scores'!I70-'BFI Scores'!D70)^2</f>
        <v>5.1428160493827244</v>
      </c>
      <c r="E70" s="18">
        <f>('BFI Scores'!J70-'BFI Scores'!E70)^2</f>
        <v>0.25</v>
      </c>
      <c r="F70" s="18">
        <f>('BFI Scores'!K70-'BFI Scores'!F70)^2</f>
        <v>0.12249999999999975</v>
      </c>
      <c r="G70" s="18">
        <f>('BFI Scores'!L70-'BFI Scores'!B70)^2</f>
        <v>1.5750249999999997</v>
      </c>
      <c r="H70" s="18">
        <f>('BFI Scores'!M70-'BFI Scores'!C70)^2</f>
        <v>0.93229753086420686</v>
      </c>
      <c r="I70" s="18">
        <f>('BFI Scores'!N70-'BFI Scores'!D70)^2</f>
        <v>6.3112604938271479</v>
      </c>
      <c r="J70" s="18">
        <f>('BFI Scores'!O70-'BFI Scores'!E70)^2</f>
        <v>0.25</v>
      </c>
      <c r="K70" s="18">
        <f>('BFI Scores'!P70-'BFI Scores'!F70)^2</f>
        <v>8.4100000000000022E-2</v>
      </c>
      <c r="L70" s="18">
        <f>('BFI Scores'!Q70-'BFI Scores'!B70)^2</f>
        <v>1.7689000000000001</v>
      </c>
      <c r="M70" s="18">
        <f>('BFI Scores'!R70-'BFI Scores'!C70)^2</f>
        <v>1.384544444444453</v>
      </c>
      <c r="N70" s="18">
        <f>('BFI Scores'!S70-'BFI Scores'!D70)^2</f>
        <v>5.3978777777777607</v>
      </c>
      <c r="O70" s="18">
        <f>('BFI Scores'!T70-'BFI Scores'!E70)^2</f>
        <v>0.25</v>
      </c>
      <c r="P70" s="18">
        <f>('BFI Scores'!U70-'BFI Scores'!F70)^2</f>
        <v>0.29160000000000003</v>
      </c>
      <c r="Q70" s="18">
        <f>('BFI Scores'!V70-'BFI Scores'!B70)^2</f>
        <v>0.14439999999999992</v>
      </c>
      <c r="R70" s="18">
        <f>('BFI Scores'!W70-'BFI Scores'!C70)^2</f>
        <v>7.6544444444446511E-2</v>
      </c>
      <c r="S70" s="18">
        <f>('BFI Scores'!X70-'BFI Scores'!D70)^2</f>
        <v>6.7657790123456714</v>
      </c>
      <c r="T70" s="18">
        <f>('BFI Scores'!Y70-'BFI Scores'!E70)^2</f>
        <v>0.19140625</v>
      </c>
      <c r="U70" s="18">
        <f>('BFI Scores'!Z70-'BFI Scores'!F70)^2</f>
        <v>1.9599999999999909E-2</v>
      </c>
      <c r="V70" s="18">
        <f>('BFI Scores'!AA70-'BFI Scores'!B70)^2</f>
        <v>0.2450250000000001</v>
      </c>
      <c r="W70" s="18">
        <f>('BFI Scores'!AB70-'BFI Scores'!C70)^2</f>
        <v>0.14187777777778066</v>
      </c>
      <c r="X70" s="18">
        <f>('BFI Scores'!AC70-'BFI Scores'!D70)^2</f>
        <v>7.1170382716049483</v>
      </c>
      <c r="Y70" s="18">
        <f>('BFI Scores'!AD70-'BFI Scores'!E70)^2</f>
        <v>0.140625</v>
      </c>
      <c r="Z70" s="18">
        <f>('BFI Scores'!AE70-'BFI Scores'!F70)^2</f>
        <v>4.0000000000000072E-4</v>
      </c>
      <c r="AA70" s="20">
        <f t="shared" si="10"/>
        <v>1.3023351234567915</v>
      </c>
      <c r="AB70" s="20">
        <f t="shared" si="11"/>
        <v>1.830536604938271</v>
      </c>
      <c r="AC70" s="20">
        <f t="shared" si="12"/>
        <v>1.818584444444443</v>
      </c>
      <c r="AD70" s="20">
        <f t="shared" si="13"/>
        <v>1.4395459413580236</v>
      </c>
      <c r="AE70" s="20">
        <f t="shared" si="14"/>
        <v>1.5289932098765457</v>
      </c>
    </row>
    <row r="71" spans="1:31" x14ac:dyDescent="0.2">
      <c r="A71" s="17">
        <v>66492</v>
      </c>
      <c r="B71" s="18">
        <f>('BFI Scores'!G71-'BFI Scores'!B71)^2</f>
        <v>0.80102500000000088</v>
      </c>
      <c r="C71" s="18">
        <f>('BFI Scores'!H71-'BFI Scores'!C71)^2</f>
        <v>0.12172345679012371</v>
      </c>
      <c r="D71" s="18">
        <f>('BFI Scores'!I71-'BFI Scores'!D71)^2</f>
        <v>7.0519753086417031E-2</v>
      </c>
      <c r="E71" s="18">
        <f>('BFI Scores'!J71-'BFI Scores'!E71)^2</f>
        <v>4.0501562500000006</v>
      </c>
      <c r="F71" s="18">
        <f>('BFI Scores'!K71-'BFI Scores'!F71)^2</f>
        <v>0.24009999999999979</v>
      </c>
      <c r="G71" s="18">
        <f>('BFI Scores'!L71-'BFI Scores'!B71)^2</f>
        <v>0.40005625000000034</v>
      </c>
      <c r="H71" s="18">
        <f>('BFI Scores'!M71-'BFI Scores'!C71)^2</f>
        <v>3.1604938271614821E-4</v>
      </c>
      <c r="I71" s="18">
        <f>('BFI Scores'!N71-'BFI Scores'!D71)^2</f>
        <v>3.1211111111112397E-2</v>
      </c>
      <c r="J71" s="18">
        <f>('BFI Scores'!O71-'BFI Scores'!E71)^2</f>
        <v>3.8025000000000007</v>
      </c>
      <c r="K71" s="18">
        <f>('BFI Scores'!P71-'BFI Scores'!F71)^2</f>
        <v>0.10890000000000034</v>
      </c>
      <c r="L71" s="18">
        <f>('BFI Scores'!Q71-'BFI Scores'!B71)^2</f>
        <v>2.8056249999999994E-2</v>
      </c>
      <c r="M71" s="18">
        <f>('BFI Scores'!R71-'BFI Scores'!C71)^2</f>
        <v>2.612345679013253E-3</v>
      </c>
      <c r="N71" s="18">
        <f>('BFI Scores'!S71-'BFI Scores'!D71)^2</f>
        <v>0.19654444444444172</v>
      </c>
      <c r="O71" s="18">
        <f>('BFI Scores'!T71-'BFI Scores'!E71)^2</f>
        <v>3.8025000000000007</v>
      </c>
      <c r="P71" s="18">
        <f>('BFI Scores'!U71-'BFI Scores'!F71)^2</f>
        <v>6.7599999999999882E-2</v>
      </c>
      <c r="Q71" s="18">
        <f>('BFI Scores'!V71-'BFI Scores'!B71)^2</f>
        <v>0.75690000000000024</v>
      </c>
      <c r="R71" s="18">
        <f>('BFI Scores'!W71-'BFI Scores'!C71)^2</f>
        <v>0.11409382716049529</v>
      </c>
      <c r="S71" s="18">
        <f>('BFI Scores'!X71-'BFI Scores'!D71)^2</f>
        <v>9.610000000000031E-2</v>
      </c>
      <c r="T71" s="18">
        <f>('BFI Scores'!Y71-'BFI Scores'!E71)^2</f>
        <v>3.4225000000000003</v>
      </c>
      <c r="U71" s="18">
        <f>('BFI Scores'!Z71-'BFI Scores'!F71)^2</f>
        <v>0.27040000000000003</v>
      </c>
      <c r="V71" s="18">
        <f>('BFI Scores'!AA71-'BFI Scores'!B71)^2</f>
        <v>0.40005625000000034</v>
      </c>
      <c r="W71" s="18">
        <f>('BFI Scores'!AB71-'BFI Scores'!C71)^2</f>
        <v>1.1377777777778493E-2</v>
      </c>
      <c r="X71" s="18">
        <f>('BFI Scores'!AC71-'BFI Scores'!D71)^2</f>
        <v>0.65610000000000079</v>
      </c>
      <c r="Y71" s="18">
        <f>('BFI Scores'!AD71-'BFI Scores'!E71)^2</f>
        <v>1.0764062500000002</v>
      </c>
      <c r="Z71" s="18">
        <f>('BFI Scores'!AE71-'BFI Scores'!F71)^2</f>
        <v>1.9600000000000034E-2</v>
      </c>
      <c r="AA71" s="20">
        <f t="shared" si="10"/>
        <v>1.0567048919753084</v>
      </c>
      <c r="AB71" s="20">
        <f t="shared" si="11"/>
        <v>0.86859668209876584</v>
      </c>
      <c r="AC71" s="20">
        <f t="shared" si="12"/>
        <v>0.81946260802469106</v>
      </c>
      <c r="AD71" s="20">
        <f t="shared" si="13"/>
        <v>0.93199876543209936</v>
      </c>
      <c r="AE71" s="20">
        <f t="shared" si="14"/>
        <v>0.43270805555555603</v>
      </c>
    </row>
    <row r="72" spans="1:31" x14ac:dyDescent="0.2">
      <c r="A72" s="17">
        <v>66593</v>
      </c>
      <c r="B72" s="18">
        <f>('BFI Scores'!G72-'BFI Scores'!B72)^2</f>
        <v>0.45562499999999978</v>
      </c>
      <c r="C72" s="18">
        <f>('BFI Scores'!H72-'BFI Scores'!C72)^2</f>
        <v>4.4444444444448868E-3</v>
      </c>
      <c r="D72" s="18">
        <f>('BFI Scores'!I72-'BFI Scores'!D72)^2</f>
        <v>6.3056790123456205E-2</v>
      </c>
      <c r="E72" s="18">
        <f>('BFI Scores'!J72-'BFI Scores'!E72)^2</f>
        <v>4.41</v>
      </c>
      <c r="F72" s="18">
        <f>('BFI Scores'!K72-'BFI Scores'!F72)^2</f>
        <v>0.30250000000000027</v>
      </c>
      <c r="G72" s="18">
        <f>('BFI Scores'!L72-'BFI Scores'!B72)^2</f>
        <v>4.000000000000007E-2</v>
      </c>
      <c r="H72" s="18">
        <f>('BFI Scores'!M72-'BFI Scores'!C72)^2</f>
        <v>5.9753086419750925E-2</v>
      </c>
      <c r="I72" s="18">
        <f>('BFI Scores'!N72-'BFI Scores'!D72)^2</f>
        <v>1.6612345679012618E-2</v>
      </c>
      <c r="J72" s="18">
        <f>('BFI Scores'!O72-'BFI Scores'!E72)^2</f>
        <v>4.515625</v>
      </c>
      <c r="K72" s="18">
        <f>('BFI Scores'!P72-'BFI Scores'!F72)^2</f>
        <v>0.53289999999999993</v>
      </c>
      <c r="L72" s="18">
        <f>('BFI Scores'!Q72-'BFI Scores'!B72)^2</f>
        <v>1.8906250000000048E-2</v>
      </c>
      <c r="M72" s="18">
        <f>('BFI Scores'!R72-'BFI Scores'!C72)^2</f>
        <v>1.7777777777776942E-2</v>
      </c>
      <c r="N72" s="18">
        <f>('BFI Scores'!S72-'BFI Scores'!D72)^2</f>
        <v>0.18394567901234643</v>
      </c>
      <c r="O72" s="18">
        <f>('BFI Scores'!T72-'BFI Scores'!E72)^2</f>
        <v>2.44140625</v>
      </c>
      <c r="P72" s="18">
        <f>('BFI Scores'!U72-'BFI Scores'!F72)^2</f>
        <v>9.0000000000000163E-2</v>
      </c>
      <c r="Q72" s="18">
        <f>('BFI Scores'!V72-'BFI Scores'!B72)^2</f>
        <v>3.515625E-2</v>
      </c>
      <c r="R72" s="18">
        <f>('BFI Scores'!W72-'BFI Scores'!C72)^2</f>
        <v>5.4444444444442817E-2</v>
      </c>
      <c r="S72" s="18">
        <f>('BFI Scores'!X72-'BFI Scores'!D72)^2</f>
        <v>0.16537777777778037</v>
      </c>
      <c r="T72" s="18">
        <f>('BFI Scores'!Y72-'BFI Scores'!E72)^2</f>
        <v>4.515625</v>
      </c>
      <c r="U72" s="18">
        <f>('BFI Scores'!Z72-'BFI Scores'!F72)^2</f>
        <v>0.64000000000000046</v>
      </c>
      <c r="V72" s="18">
        <f>('BFI Scores'!AA72-'BFI Scores'!B72)^2</f>
        <v>7.5624999999999956E-2</v>
      </c>
      <c r="W72" s="18">
        <f>('BFI Scores'!AB72-'BFI Scores'!C72)^2</f>
        <v>1.2345679012343617E-4</v>
      </c>
      <c r="X72" s="18">
        <f>('BFI Scores'!AC72-'BFI Scores'!D72)^2</f>
        <v>0.12327901234567826</v>
      </c>
      <c r="Y72" s="18">
        <f>('BFI Scores'!AD72-'BFI Scores'!E72)^2</f>
        <v>2.640625</v>
      </c>
      <c r="Z72" s="18">
        <f>('BFI Scores'!AE72-'BFI Scores'!F72)^2</f>
        <v>0.75690000000000024</v>
      </c>
      <c r="AA72" s="20">
        <f t="shared" si="10"/>
        <v>1.0471252469135801</v>
      </c>
      <c r="AB72" s="20">
        <f t="shared" si="11"/>
        <v>1.0329780864197526</v>
      </c>
      <c r="AC72" s="20">
        <f t="shared" si="12"/>
        <v>0.55040719135802474</v>
      </c>
      <c r="AD72" s="20">
        <f t="shared" si="13"/>
        <v>1.0821206944444448</v>
      </c>
      <c r="AE72" s="20">
        <f t="shared" si="14"/>
        <v>0.71931049382716039</v>
      </c>
    </row>
    <row r="73" spans="1:31" x14ac:dyDescent="0.2">
      <c r="A73" s="17">
        <v>67878</v>
      </c>
      <c r="B73" s="18">
        <f>('BFI Scores'!G73-'BFI Scores'!B73)^2</f>
        <v>0.18062499999999984</v>
      </c>
      <c r="C73" s="18">
        <f>('BFI Scores'!H73-'BFI Scores'!C73)^2</f>
        <v>6.702345679012417E-2</v>
      </c>
      <c r="D73" s="18">
        <f>('BFI Scores'!I73-'BFI Scores'!D73)^2</f>
        <v>4.6464197530866086E-2</v>
      </c>
      <c r="E73" s="18">
        <f>('BFI Scores'!J73-'BFI Scores'!E73)^2</f>
        <v>0.17430625</v>
      </c>
      <c r="F73" s="18">
        <f>('BFI Scores'!K73-'BFI Scores'!F73)^2</f>
        <v>0.92159999999999997</v>
      </c>
      <c r="G73" s="18">
        <f>('BFI Scores'!L73-'BFI Scores'!B73)^2</f>
        <v>0.3751562499999998</v>
      </c>
      <c r="H73" s="18">
        <f>('BFI Scores'!M73-'BFI Scores'!C73)^2</f>
        <v>0.12094938271605074</v>
      </c>
      <c r="I73" s="18">
        <f>('BFI Scores'!N73-'BFI Scores'!D73)^2</f>
        <v>0.20150123456790203</v>
      </c>
      <c r="J73" s="18">
        <f>('BFI Scores'!O73-'BFI Scores'!E73)^2</f>
        <v>0.36602499999999999</v>
      </c>
      <c r="K73" s="18">
        <f>('BFI Scores'!P73-'BFI Scores'!F73)^2</f>
        <v>1.0201000000000005</v>
      </c>
      <c r="L73" s="18">
        <f>('BFI Scores'!Q73-'BFI Scores'!B73)^2</f>
        <v>0.3600000000000001</v>
      </c>
      <c r="M73" s="18">
        <f>('BFI Scores'!R73-'BFI Scores'!C73)^2</f>
        <v>0.57591234567901373</v>
      </c>
      <c r="N73" s="18">
        <f>('BFI Scores'!S73-'BFI Scores'!D73)^2</f>
        <v>9.2686419753089444E-2</v>
      </c>
      <c r="O73" s="18">
        <f>('BFI Scores'!T73-'BFI Scores'!E73)^2</f>
        <v>0.28089999999999982</v>
      </c>
      <c r="P73" s="18">
        <f>('BFI Scores'!U73-'BFI Scores'!F73)^2</f>
        <v>2.2201000000000009</v>
      </c>
      <c r="Q73" s="18">
        <f>('BFI Scores'!V73-'BFI Scores'!B73)^2</f>
        <v>6.2499999999999557E-4</v>
      </c>
      <c r="R73" s="18">
        <f>('BFI Scores'!W73-'BFI Scores'!C73)^2</f>
        <v>5.6011111111112649E-2</v>
      </c>
      <c r="S73" s="18">
        <f>('BFI Scores'!X73-'BFI Scores'!D73)^2</f>
        <v>0.12172345679012371</v>
      </c>
      <c r="T73" s="18">
        <f>('BFI Scores'!Y73-'BFI Scores'!E73)^2</f>
        <v>6.399999999999976E-3</v>
      </c>
      <c r="U73" s="18">
        <f>('BFI Scores'!Z73-'BFI Scores'!F73)^2</f>
        <v>0.49000000000000027</v>
      </c>
      <c r="V73" s="18">
        <f>('BFI Scores'!AA73-'BFI Scores'!B73)^2</f>
        <v>2.4999999999999823E-3</v>
      </c>
      <c r="W73" s="18">
        <f>('BFI Scores'!AB73-'BFI Scores'!C73)^2</f>
        <v>0.59289999999999998</v>
      </c>
      <c r="X73" s="18">
        <f>('BFI Scores'!AC73-'BFI Scores'!D73)^2</f>
        <v>9.9575308641977847E-2</v>
      </c>
      <c r="Y73" s="18">
        <f>('BFI Scores'!AD73-'BFI Scores'!E73)^2</f>
        <v>5.6250000000000934E-5</v>
      </c>
      <c r="Z73" s="18">
        <f>('BFI Scores'!AE73-'BFI Scores'!F73)^2</f>
        <v>0.13690000000000008</v>
      </c>
      <c r="AA73" s="20">
        <f t="shared" si="10"/>
        <v>0.27800378086419802</v>
      </c>
      <c r="AB73" s="20">
        <f t="shared" si="11"/>
        <v>0.41674637345679066</v>
      </c>
      <c r="AC73" s="20">
        <f t="shared" si="12"/>
        <v>0.70591975308642074</v>
      </c>
      <c r="AD73" s="20">
        <f t="shared" si="13"/>
        <v>0.13495191358024733</v>
      </c>
      <c r="AE73" s="20">
        <f t="shared" si="14"/>
        <v>0.16638631172839555</v>
      </c>
    </row>
    <row r="74" spans="1:31" x14ac:dyDescent="0.2">
      <c r="A74" s="17">
        <v>68635</v>
      </c>
      <c r="B74" s="18">
        <f>('BFI Scores'!G74-'BFI Scores'!B74)^2</f>
        <v>3.0800249999999996</v>
      </c>
      <c r="C74" s="18">
        <f>('BFI Scores'!H74-'BFI Scores'!C74)^2</f>
        <v>3.401975308642171E-2</v>
      </c>
      <c r="D74" s="18">
        <f>('BFI Scores'!I74-'BFI Scores'!D74)^2</f>
        <v>0.21159999999999995</v>
      </c>
      <c r="E74" s="18">
        <f>('BFI Scores'!J74-'BFI Scores'!E74)^2</f>
        <v>1.2939062499999998</v>
      </c>
      <c r="F74" s="18">
        <f>('BFI Scores'!K74-'BFI Scores'!F74)^2</f>
        <v>1.1236000000000002</v>
      </c>
      <c r="G74" s="18">
        <f>('BFI Scores'!L74-'BFI Scores'!B74)^2</f>
        <v>2.8645562499999997</v>
      </c>
      <c r="H74" s="18">
        <f>('BFI Scores'!M74-'BFI Scores'!C74)^2</f>
        <v>5.7599999999999887E-2</v>
      </c>
      <c r="I74" s="18">
        <f>('BFI Scores'!N74-'BFI Scores'!D74)^2</f>
        <v>0.20150123456790242</v>
      </c>
      <c r="J74" s="18">
        <f>('BFI Scores'!O74-'BFI Scores'!E74)^2</f>
        <v>1.2939062499999998</v>
      </c>
      <c r="K74" s="18">
        <f>('BFI Scores'!P74-'BFI Scores'!F74)^2</f>
        <v>1.3924000000000003</v>
      </c>
      <c r="L74" s="18">
        <f>('BFI Scores'!Q74-'BFI Scores'!B74)^2</f>
        <v>2.6978062500000002</v>
      </c>
      <c r="M74" s="18">
        <f>('BFI Scores'!R74-'BFI Scores'!C74)^2</f>
        <v>7.1111111111128603E-4</v>
      </c>
      <c r="N74" s="18">
        <f>('BFI Scores'!S74-'BFI Scores'!D74)^2</f>
        <v>0.70187160493827527</v>
      </c>
      <c r="O74" s="18">
        <f>('BFI Scores'!T74-'BFI Scores'!E74)^2</f>
        <v>0.7014062499999999</v>
      </c>
      <c r="P74" s="18">
        <f>('BFI Scores'!U74-'BFI Scores'!F74)^2</f>
        <v>1.2768999999999997</v>
      </c>
      <c r="Q74" s="18">
        <f>('BFI Scores'!V74-'BFI Scores'!B74)^2</f>
        <v>0.84180624999999998</v>
      </c>
      <c r="R74" s="18">
        <f>('BFI Scores'!W74-'BFI Scores'!C74)^2</f>
        <v>8.7353086419755727E-2</v>
      </c>
      <c r="S74" s="18">
        <f>('BFI Scores'!X74-'BFI Scores'!D74)^2</f>
        <v>0.37890864197531393</v>
      </c>
      <c r="T74" s="18">
        <f>('BFI Scores'!Y74-'BFI Scores'!E74)^2</f>
        <v>0.5625</v>
      </c>
      <c r="U74" s="18">
        <f>('BFI Scores'!Z74-'BFI Scores'!F74)^2</f>
        <v>0.49000000000000027</v>
      </c>
      <c r="V74" s="18">
        <f>('BFI Scores'!AA74-'BFI Scores'!B74)^2</f>
        <v>0.21855624999999981</v>
      </c>
      <c r="W74" s="18">
        <f>('BFI Scores'!AB74-'BFI Scores'!C74)^2</f>
        <v>0.13120493827160318</v>
      </c>
      <c r="X74" s="18">
        <f>('BFI Scores'!AC74-'BFI Scores'!D74)^2</f>
        <v>1.3715012345678983</v>
      </c>
      <c r="Y74" s="18">
        <f>('BFI Scores'!AD74-'BFI Scores'!E74)^2</f>
        <v>0.390625</v>
      </c>
      <c r="Z74" s="18">
        <f>('BFI Scores'!AE74-'BFI Scores'!F74)^2</f>
        <v>0.50409999999999999</v>
      </c>
      <c r="AA74" s="20">
        <f t="shared" si="10"/>
        <v>1.1486302006172842</v>
      </c>
      <c r="AB74" s="20">
        <f t="shared" si="11"/>
        <v>1.1619927469135805</v>
      </c>
      <c r="AC74" s="20">
        <f t="shared" si="12"/>
        <v>1.0757390432098772</v>
      </c>
      <c r="AD74" s="20">
        <f t="shared" si="13"/>
        <v>0.47211359567901401</v>
      </c>
      <c r="AE74" s="20">
        <f t="shared" si="14"/>
        <v>0.52319748456790038</v>
      </c>
    </row>
    <row r="75" spans="1:31" x14ac:dyDescent="0.2">
      <c r="A75" s="17">
        <v>72484</v>
      </c>
      <c r="B75" s="18">
        <f>('BFI Scores'!G75-'BFI Scores'!B75)^2</f>
        <v>0.27040000000000003</v>
      </c>
      <c r="C75" s="18">
        <f>('BFI Scores'!H75-'BFI Scores'!C75)^2</f>
        <v>2.2827160493829207E-3</v>
      </c>
      <c r="D75" s="18">
        <f>('BFI Scores'!I75-'BFI Scores'!D75)^2</f>
        <v>0.60666790123457004</v>
      </c>
      <c r="E75" s="18">
        <f>('BFI Scores'!J75-'BFI Scores'!E75)^2</f>
        <v>1.6065562500000001</v>
      </c>
      <c r="F75" s="18">
        <f>('BFI Scores'!K75-'BFI Scores'!F75)^2</f>
        <v>1.9043999999999996</v>
      </c>
      <c r="G75" s="18">
        <f>('BFI Scores'!L75-'BFI Scores'!B75)^2</f>
        <v>0.77880625000000048</v>
      </c>
      <c r="H75" s="18">
        <f>('BFI Scores'!M75-'BFI Scores'!C75)^2</f>
        <v>2.2827160493829207E-3</v>
      </c>
      <c r="I75" s="18">
        <f>('BFI Scores'!N75-'BFI Scores'!D75)^2</f>
        <v>1.7807419753086571</v>
      </c>
      <c r="J75" s="18">
        <f>('BFI Scores'!O75-'BFI Scores'!E75)^2</f>
        <v>2.4570562499999995</v>
      </c>
      <c r="K75" s="18">
        <f>('BFI Scores'!P75-'BFI Scores'!F75)^2</f>
        <v>2.8224000000000005</v>
      </c>
      <c r="L75" s="18">
        <f>('BFI Scores'!Q75-'BFI Scores'!B75)^2</f>
        <v>0.53655624999999985</v>
      </c>
      <c r="M75" s="18">
        <f>('BFI Scores'!R75-'BFI Scores'!C75)^2</f>
        <v>3.4430864197532565E-2</v>
      </c>
      <c r="N75" s="18">
        <f>('BFI Scores'!S75-'BFI Scores'!D75)^2</f>
        <v>1.7512111111111026</v>
      </c>
      <c r="O75" s="18">
        <f>('BFI Scores'!T75-'BFI Scores'!E75)^2</f>
        <v>3.1683999999999992</v>
      </c>
      <c r="P75" s="18">
        <f>('BFI Scores'!U75-'BFI Scores'!F75)^2</f>
        <v>3.0625</v>
      </c>
      <c r="Q75" s="18">
        <f>('BFI Scores'!V75-'BFI Scores'!B75)^2</f>
        <v>0.80102499999999999</v>
      </c>
      <c r="R75" s="18">
        <f>('BFI Scores'!W75-'BFI Scores'!C75)^2</f>
        <v>8.5049382716044855E-3</v>
      </c>
      <c r="S75" s="18">
        <f>('BFI Scores'!X75-'BFI Scores'!D75)^2</f>
        <v>0.60666790123457004</v>
      </c>
      <c r="T75" s="18">
        <f>('BFI Scores'!Y75-'BFI Scores'!E75)^2</f>
        <v>1.3923999999999994</v>
      </c>
      <c r="U75" s="18">
        <f>('BFI Scores'!Z75-'BFI Scores'!F75)^2</f>
        <v>1.9599999999999997</v>
      </c>
      <c r="V75" s="18">
        <f>('BFI Scores'!AA75-'BFI Scores'!B75)^2</f>
        <v>1.9113062500000009</v>
      </c>
      <c r="W75" s="18">
        <f>('BFI Scores'!AB75-'BFI Scores'!C75)^2</f>
        <v>4.5986419753084415E-2</v>
      </c>
      <c r="X75" s="18">
        <f>('BFI Scores'!AC75-'BFI Scores'!D75)^2</f>
        <v>3.0469641975308805</v>
      </c>
      <c r="Y75" s="18">
        <f>('BFI Scores'!AD75-'BFI Scores'!E75)^2</f>
        <v>1.8023062499999996</v>
      </c>
      <c r="Z75" s="18">
        <f>('BFI Scores'!AE75-'BFI Scores'!F75)^2</f>
        <v>4.7524000000000006</v>
      </c>
      <c r="AA75" s="20">
        <f t="shared" si="10"/>
        <v>0.87806137345679058</v>
      </c>
      <c r="AB75" s="20">
        <f t="shared" si="11"/>
        <v>1.5682574382716079</v>
      </c>
      <c r="AC75" s="20">
        <f t="shared" si="12"/>
        <v>1.7106196450617268</v>
      </c>
      <c r="AD75" s="20">
        <f t="shared" si="13"/>
        <v>0.95371956790123469</v>
      </c>
      <c r="AE75" s="20">
        <f t="shared" si="14"/>
        <v>2.3117926234567934</v>
      </c>
    </row>
    <row r="76" spans="1:31" x14ac:dyDescent="0.2">
      <c r="A76" s="17">
        <v>74226</v>
      </c>
      <c r="B76" s="18">
        <f>('BFI Scores'!G76-'BFI Scores'!B76)^2</f>
        <v>0.33062500000000022</v>
      </c>
      <c r="C76" s="18">
        <f>('BFI Scores'!H76-'BFI Scores'!C76)^2</f>
        <v>1.1235999999999993</v>
      </c>
      <c r="D76" s="18">
        <f>('BFI Scores'!I76-'BFI Scores'!D76)^2</f>
        <v>0.31235679012345813</v>
      </c>
      <c r="E76" s="18">
        <f>('BFI Scores'!J76-'BFI Scores'!E76)^2</f>
        <v>4.25390625</v>
      </c>
      <c r="F76" s="18">
        <f>('BFI Scores'!K76-'BFI Scores'!F76)^2</f>
        <v>4.9000000000000397E-3</v>
      </c>
      <c r="G76" s="18">
        <f>('BFI Scores'!L76-'BFI Scores'!B76)^2</f>
        <v>0.13140624999999986</v>
      </c>
      <c r="H76" s="18">
        <f>('BFI Scores'!M76-'BFI Scores'!C76)^2</f>
        <v>1.3976493827160663</v>
      </c>
      <c r="I76" s="18">
        <f>('BFI Scores'!N76-'BFI Scores'!D76)^2</f>
        <v>0.30006049382716282</v>
      </c>
      <c r="J76" s="18">
        <f>('BFI Scores'!O76-'BFI Scores'!E76)^2</f>
        <v>3.0625</v>
      </c>
      <c r="K76" s="18">
        <f>('BFI Scores'!P76-'BFI Scores'!F76)^2</f>
        <v>3.9999999999999897E-2</v>
      </c>
      <c r="L76" s="18">
        <f>('BFI Scores'!Q76-'BFI Scores'!B76)^2</f>
        <v>8.99999999999999E-2</v>
      </c>
      <c r="M76" s="18">
        <f>('BFI Scores'!R76-'BFI Scores'!C76)^2</f>
        <v>1.2444641975308728</v>
      </c>
      <c r="N76" s="18">
        <f>('BFI Scores'!S76-'BFI Scores'!D76)^2</f>
        <v>2.6677777777780024E-2</v>
      </c>
      <c r="O76" s="18">
        <f>('BFI Scores'!T76-'BFI Scores'!E76)^2</f>
        <v>3.0625</v>
      </c>
      <c r="P76" s="18">
        <f>('BFI Scores'!U76-'BFI Scores'!F76)^2</f>
        <v>1.6900000000000089E-2</v>
      </c>
      <c r="Q76" s="18">
        <f>('BFI Scores'!V76-'BFI Scores'!B76)^2</f>
        <v>0.42249999999999988</v>
      </c>
      <c r="R76" s="18">
        <f>('BFI Scores'!W76-'BFI Scores'!C76)^2</f>
        <v>0.943056790123454</v>
      </c>
      <c r="S76" s="18">
        <f>('BFI Scores'!X76-'BFI Scores'!D76)^2</f>
        <v>0.24228271604938065</v>
      </c>
      <c r="T76" s="18">
        <f>('BFI Scores'!Y76-'BFI Scores'!E76)^2</f>
        <v>3.8024999999999998</v>
      </c>
      <c r="U76" s="18">
        <f>('BFI Scores'!Z76-'BFI Scores'!F76)^2</f>
        <v>2.2500000000000107E-2</v>
      </c>
      <c r="V76" s="18">
        <f>('BFI Scores'!AA76-'BFI Scores'!B76)^2</f>
        <v>2.9326562499999995</v>
      </c>
      <c r="W76" s="18">
        <f>('BFI Scores'!AB76-'BFI Scores'!C76)^2</f>
        <v>1.2197975308642091</v>
      </c>
      <c r="X76" s="18">
        <f>('BFI Scores'!AC76-'BFI Scores'!D76)^2</f>
        <v>6.3616049382714882E-2</v>
      </c>
      <c r="Y76" s="18">
        <f>('BFI Scores'!AD76-'BFI Scores'!E76)^2</f>
        <v>3.515625</v>
      </c>
      <c r="Z76" s="18">
        <f>('BFI Scores'!AE76-'BFI Scores'!F76)^2</f>
        <v>0.16000000000000028</v>
      </c>
      <c r="AA76" s="20">
        <f t="shared" si="10"/>
        <v>1.2050776080246917</v>
      </c>
      <c r="AB76" s="20">
        <f t="shared" si="11"/>
        <v>0.9863232253086458</v>
      </c>
      <c r="AC76" s="20">
        <f t="shared" si="12"/>
        <v>0.88810839506173045</v>
      </c>
      <c r="AD76" s="20">
        <f t="shared" si="13"/>
        <v>1.0865679012345668</v>
      </c>
      <c r="AE76" s="20">
        <f t="shared" si="14"/>
        <v>1.5783389660493845</v>
      </c>
    </row>
    <row r="77" spans="1:31" x14ac:dyDescent="0.2">
      <c r="A77" s="17">
        <v>76239</v>
      </c>
      <c r="B77" s="18">
        <f>('BFI Scores'!G77-'BFI Scores'!B77)^2</f>
        <v>3.1506249999999998</v>
      </c>
      <c r="C77" s="18">
        <f>('BFI Scores'!H77-'BFI Scores'!C77)^2</f>
        <v>0.3248999999999998</v>
      </c>
      <c r="D77" s="18">
        <f>('BFI Scores'!I77-'BFI Scores'!D77)^2</f>
        <v>0.73197530864198301</v>
      </c>
      <c r="E77" s="18">
        <f>('BFI Scores'!J77-'BFI Scores'!E77)^2</f>
        <v>1.41015625</v>
      </c>
      <c r="F77" s="18">
        <f>('BFI Scores'!K77-'BFI Scores'!F77)^2</f>
        <v>4.4099999999999986E-2</v>
      </c>
      <c r="G77" s="18">
        <f>('BFI Scores'!L77-'BFI Scores'!B77)^2</f>
        <v>3.1064062500000005</v>
      </c>
      <c r="H77" s="18">
        <f>('BFI Scores'!M77-'BFI Scores'!C77)^2</f>
        <v>0.77635679012345538</v>
      </c>
      <c r="I77" s="18">
        <f>('BFI Scores'!N77-'BFI Scores'!D77)^2</f>
        <v>0.69444444444445574</v>
      </c>
      <c r="J77" s="18">
        <f>('BFI Scores'!O77-'BFI Scores'!E77)^2</f>
        <v>0.83265624999999932</v>
      </c>
      <c r="K77" s="18">
        <f>('BFI Scores'!P77-'BFI Scores'!F77)^2</f>
        <v>4.000000000000007E-2</v>
      </c>
      <c r="L77" s="18">
        <f>('BFI Scores'!Q77-'BFI Scores'!B77)^2</f>
        <v>1.265625</v>
      </c>
      <c r="M77" s="18">
        <f>('BFI Scores'!R77-'BFI Scores'!C77)^2</f>
        <v>1.1212456790123482</v>
      </c>
      <c r="N77" s="18">
        <f>('BFI Scores'!S77-'BFI Scores'!D77)^2</f>
        <v>1.0000000000000018E-2</v>
      </c>
      <c r="O77" s="18">
        <f>('BFI Scores'!T77-'BFI Scores'!E77)^2</f>
        <v>0.49000000000000027</v>
      </c>
      <c r="P77" s="18">
        <f>('BFI Scores'!U77-'BFI Scores'!F77)^2</f>
        <v>3.9999999999998294E-4</v>
      </c>
      <c r="Q77" s="18">
        <f>('BFI Scores'!V77-'BFI Scores'!B77)^2</f>
        <v>5.640625</v>
      </c>
      <c r="R77" s="18">
        <f>('BFI Scores'!W77-'BFI Scores'!C77)^2</f>
        <v>0.21057901234568005</v>
      </c>
      <c r="S77" s="18">
        <f>('BFI Scores'!X77-'BFI Scores'!D77)^2</f>
        <v>0.85049382716048938</v>
      </c>
      <c r="T77" s="18">
        <f>('BFI Scores'!Y77-'BFI Scores'!E77)^2</f>
        <v>1.890625</v>
      </c>
      <c r="U77" s="18">
        <f>('BFI Scores'!Z77-'BFI Scores'!F77)^2</f>
        <v>1.9600000000000159E-2</v>
      </c>
      <c r="V77" s="18">
        <f>('BFI Scores'!AA77-'BFI Scores'!B77)^2</f>
        <v>2.640625</v>
      </c>
      <c r="W77" s="18">
        <f>('BFI Scores'!AB77-'BFI Scores'!C77)^2</f>
        <v>1.111111111108794E-5</v>
      </c>
      <c r="X77" s="18">
        <f>('BFI Scores'!AC77-'BFI Scores'!D77)^2</f>
        <v>0.52160493827160193</v>
      </c>
      <c r="Y77" s="18">
        <f>('BFI Scores'!AD77-'BFI Scores'!E77)^2</f>
        <v>2.1756249999999988</v>
      </c>
      <c r="Z77" s="18">
        <f>('BFI Scores'!AE77-'BFI Scores'!F77)^2</f>
        <v>3.240000000000022E-2</v>
      </c>
      <c r="AA77" s="20">
        <f t="shared" si="10"/>
        <v>1.1323513117283965</v>
      </c>
      <c r="AB77" s="20">
        <f t="shared" si="11"/>
        <v>1.0899727469135823</v>
      </c>
      <c r="AC77" s="20">
        <f t="shared" si="12"/>
        <v>0.57745413580246974</v>
      </c>
      <c r="AD77" s="20">
        <f t="shared" si="13"/>
        <v>1.7223845679012342</v>
      </c>
      <c r="AE77" s="20">
        <f t="shared" si="14"/>
        <v>1.0740532098765423</v>
      </c>
    </row>
    <row r="78" spans="1:31" x14ac:dyDescent="0.2">
      <c r="A78" s="17">
        <v>80165</v>
      </c>
      <c r="B78" s="18">
        <f>('BFI Scores'!G78-'BFI Scores'!B78)^2</f>
        <v>5.6406249999999915E-2</v>
      </c>
      <c r="C78" s="18">
        <f>('BFI Scores'!H78-'BFI Scores'!C78)^2</f>
        <v>0.19851975308642325</v>
      </c>
      <c r="D78" s="18">
        <f>('BFI Scores'!I78-'BFI Scores'!D78)^2</f>
        <v>0.51043086419752415</v>
      </c>
      <c r="E78" s="18">
        <f>('BFI Scores'!J78-'BFI Scores'!E78)^2</f>
        <v>1.02515625</v>
      </c>
      <c r="F78" s="18">
        <f>('BFI Scores'!K78-'BFI Scores'!F78)^2</f>
        <v>9.9999999999999291E-3</v>
      </c>
      <c r="G78" s="18">
        <f>('BFI Scores'!L78-'BFI Scores'!B78)^2</f>
        <v>5.0625000000000038E-2</v>
      </c>
      <c r="H78" s="18">
        <f>('BFI Scores'!M78-'BFI Scores'!C78)^2</f>
        <v>0.10454444444444209</v>
      </c>
      <c r="I78" s="18">
        <f>('BFI Scores'!N78-'BFI Scores'!D78)^2</f>
        <v>1.0978382716049429</v>
      </c>
      <c r="J78" s="18">
        <f>('BFI Scores'!O78-'BFI Scores'!E78)^2</f>
        <v>0.47265625</v>
      </c>
      <c r="K78" s="18">
        <f>('BFI Scores'!P78-'BFI Scores'!F78)^2</f>
        <v>8.4100000000000022E-2</v>
      </c>
      <c r="L78" s="18">
        <f>('BFI Scores'!Q78-'BFI Scores'!B78)^2</f>
        <v>0.25</v>
      </c>
      <c r="M78" s="18">
        <f>('BFI Scores'!R78-'BFI Scores'!C78)^2</f>
        <v>8.2816049382717402E-2</v>
      </c>
      <c r="N78" s="18">
        <f>('BFI Scores'!S78-'BFI Scores'!D78)^2</f>
        <v>1.8165049382716103</v>
      </c>
      <c r="O78" s="18">
        <f>('BFI Scores'!T78-'BFI Scores'!E78)^2</f>
        <v>1.02515625</v>
      </c>
      <c r="P78" s="18">
        <f>('BFI Scores'!U78-'BFI Scores'!F78)^2</f>
        <v>0.46239999999999959</v>
      </c>
      <c r="Q78" s="18">
        <f>('BFI Scores'!V78-'BFI Scores'!B78)^2</f>
        <v>0.78765625000000028</v>
      </c>
      <c r="R78" s="18">
        <f>('BFI Scores'!W78-'BFI Scores'!C78)^2</f>
        <v>0.1887419753086462</v>
      </c>
      <c r="S78" s="18">
        <f>('BFI Scores'!X78-'BFI Scores'!D78)^2</f>
        <v>1.217344444444437</v>
      </c>
      <c r="T78" s="18">
        <f>('BFI Scores'!Y78-'BFI Scores'!E78)^2</f>
        <v>0.74390624999999966</v>
      </c>
      <c r="U78" s="18">
        <f>('BFI Scores'!Z78-'BFI Scores'!F78)^2</f>
        <v>9.0000000000001494E-4</v>
      </c>
      <c r="V78" s="18">
        <f>('BFI Scores'!AA78-'BFI Scores'!B78)^2</f>
        <v>0.5625</v>
      </c>
      <c r="W78" s="18">
        <f>('BFI Scores'!AB78-'BFI Scores'!C78)^2</f>
        <v>0.5072604938271571</v>
      </c>
      <c r="X78" s="18">
        <f>('BFI Scores'!AC78-'BFI Scores'!D78)^2</f>
        <v>0.3249000000000003</v>
      </c>
      <c r="Y78" s="18">
        <f>('BFI Scores'!AD78-'BFI Scores'!E78)^2</f>
        <v>7.5624999999999956E-2</v>
      </c>
      <c r="Z78" s="18">
        <f>('BFI Scores'!AE78-'BFI Scores'!F78)^2</f>
        <v>3.6100000000000146E-2</v>
      </c>
      <c r="AA78" s="20">
        <f t="shared" si="10"/>
        <v>0.36010262345678945</v>
      </c>
      <c r="AB78" s="20">
        <f t="shared" si="11"/>
        <v>0.361952793209877</v>
      </c>
      <c r="AC78" s="20">
        <f t="shared" si="12"/>
        <v>0.72737544753086547</v>
      </c>
      <c r="AD78" s="20">
        <f t="shared" si="13"/>
        <v>0.58770978395061668</v>
      </c>
      <c r="AE78" s="20">
        <f t="shared" si="14"/>
        <v>0.30127709876543152</v>
      </c>
    </row>
    <row r="79" spans="1:31" x14ac:dyDescent="0.2">
      <c r="A79" s="17">
        <v>80974</v>
      </c>
      <c r="B79" s="18">
        <f>('BFI Scores'!G79-'BFI Scores'!B79)^2</f>
        <v>1.2656249999999959E-2</v>
      </c>
      <c r="C79" s="18">
        <f>('BFI Scores'!H79-'BFI Scores'!C79)^2</f>
        <v>0.27504197530864738</v>
      </c>
      <c r="D79" s="18">
        <f>('BFI Scores'!I79-'BFI Scores'!D79)^2</f>
        <v>0.23576419753086847</v>
      </c>
      <c r="E79" s="18">
        <f>('BFI Scores'!J79-'BFI Scores'!E79)^2</f>
        <v>1.2488062499999995</v>
      </c>
      <c r="F79" s="18">
        <f>('BFI Scores'!K79-'BFI Scores'!F79)^2</f>
        <v>8.4100000000000022E-2</v>
      </c>
      <c r="G79" s="18">
        <f>('BFI Scores'!L79-'BFI Scores'!B79)^2</f>
        <v>5.6250000000000267E-3</v>
      </c>
      <c r="H79" s="18">
        <f>('BFI Scores'!M79-'BFI Scores'!C79)^2</f>
        <v>0.10526419753086771</v>
      </c>
      <c r="I79" s="18">
        <f>('BFI Scores'!N79-'BFI Scores'!D79)^2</f>
        <v>0.23576419753085898</v>
      </c>
      <c r="J79" s="18">
        <f>('BFI Scores'!O79-'BFI Scores'!E79)^2</f>
        <v>3.2130562499999997</v>
      </c>
      <c r="K79" s="18">
        <f>('BFI Scores'!P79-'BFI Scores'!F79)^2</f>
        <v>7.2900000000000256E-2</v>
      </c>
      <c r="L79" s="18">
        <f>('BFI Scores'!Q79-'BFI Scores'!B79)^2</f>
        <v>0.2626562500000002</v>
      </c>
      <c r="M79" s="18">
        <f>('BFI Scores'!R79-'BFI Scores'!C79)^2</f>
        <v>0.13607901234567962</v>
      </c>
      <c r="N79" s="18">
        <f>('BFI Scores'!S79-'BFI Scores'!D79)^2</f>
        <v>1.5960111111111028</v>
      </c>
      <c r="O79" s="18">
        <f>('BFI Scores'!T79-'BFI Scores'!E79)^2</f>
        <v>1.2768999999999997</v>
      </c>
      <c r="P79" s="18">
        <f>('BFI Scores'!U79-'BFI Scores'!F79)^2</f>
        <v>0.14439999999999992</v>
      </c>
      <c r="Q79" s="18">
        <f>('BFI Scores'!V79-'BFI Scores'!B79)^2</f>
        <v>8.99999999999999E-2</v>
      </c>
      <c r="R79" s="18">
        <f>('BFI Scores'!W79-'BFI Scores'!C79)^2</f>
        <v>0.20956049382716219</v>
      </c>
      <c r="S79" s="18">
        <f>('BFI Scores'!X79-'BFI Scores'!D79)^2</f>
        <v>1.5680604938271547</v>
      </c>
      <c r="T79" s="18">
        <f>('BFI Scores'!Y79-'BFI Scores'!E79)^2</f>
        <v>6.5024999999999944E-2</v>
      </c>
      <c r="U79" s="18">
        <f>('BFI Scores'!Z79-'BFI Scores'!F79)^2</f>
        <v>0.11560000000000051</v>
      </c>
      <c r="V79" s="18">
        <f>('BFI Scores'!AA79-'BFI Scores'!B79)^2</f>
        <v>0.80999999999999983</v>
      </c>
      <c r="W79" s="18">
        <f>('BFI Scores'!AB79-'BFI Scores'!C79)^2</f>
        <v>0.6615111111111055</v>
      </c>
      <c r="X79" s="18">
        <f>('BFI Scores'!AC79-'BFI Scores'!D79)^2</f>
        <v>2.1089493827160433</v>
      </c>
      <c r="Y79" s="18">
        <f>('BFI Scores'!AD79-'BFI Scores'!E79)^2</f>
        <v>0.36602499999999999</v>
      </c>
      <c r="Z79" s="18">
        <f>('BFI Scores'!AE79-'BFI Scores'!F79)^2</f>
        <v>8.4100000000000022E-2</v>
      </c>
      <c r="AA79" s="20">
        <f t="shared" si="10"/>
        <v>0.37127373456790302</v>
      </c>
      <c r="AB79" s="20">
        <f t="shared" si="11"/>
        <v>0.72652192901234536</v>
      </c>
      <c r="AC79" s="20">
        <f t="shared" si="12"/>
        <v>0.68320927469135651</v>
      </c>
      <c r="AD79" s="20">
        <f t="shared" si="13"/>
        <v>0.40964919753086343</v>
      </c>
      <c r="AE79" s="20">
        <f t="shared" si="14"/>
        <v>0.8061170987654297</v>
      </c>
    </row>
    <row r="80" spans="1:31" x14ac:dyDescent="0.2">
      <c r="A80" s="17">
        <v>81820</v>
      </c>
      <c r="B80" s="18">
        <f>('BFI Scores'!G80-'BFI Scores'!B80)^2</f>
        <v>6.5024999999999944E-2</v>
      </c>
      <c r="C80" s="18">
        <f>('BFI Scores'!H80-'BFI Scores'!C80)^2</f>
        <v>0.15734444444444712</v>
      </c>
      <c r="D80" s="18">
        <f>('BFI Scores'!I80-'BFI Scores'!D80)^2</f>
        <v>2.3171604938271008E-2</v>
      </c>
      <c r="E80" s="18">
        <f>('BFI Scores'!J80-'BFI Scores'!E80)^2</f>
        <v>1.5128999999999999</v>
      </c>
      <c r="F80" s="18">
        <f>('BFI Scores'!K80-'BFI Scores'!F80)^2</f>
        <v>9.9999999999999291E-3</v>
      </c>
      <c r="G80" s="18">
        <f>('BFI Scores'!L80-'BFI Scores'!B80)^2</f>
        <v>0.17430625</v>
      </c>
      <c r="H80" s="18">
        <f>('BFI Scores'!M80-'BFI Scores'!C80)^2</f>
        <v>9.3444444444451338E-3</v>
      </c>
      <c r="I80" s="18">
        <f>('BFI Scores'!N80-'BFI Scores'!D80)^2</f>
        <v>1.3097530864196544E-2</v>
      </c>
      <c r="J80" s="18">
        <f>('BFI Scores'!O80-'BFI Scores'!E80)^2</f>
        <v>1.2768999999999997</v>
      </c>
      <c r="K80" s="18">
        <f>('BFI Scores'!P80-'BFI Scores'!F80)^2</f>
        <v>4.8400000000000089E-2</v>
      </c>
      <c r="L80" s="18">
        <f>('BFI Scores'!Q80-'BFI Scores'!B80)^2</f>
        <v>0.33640000000000009</v>
      </c>
      <c r="M80" s="18">
        <f>('BFI Scores'!R80-'BFI Scores'!C80)^2</f>
        <v>1.6899999999999971E-2</v>
      </c>
      <c r="N80" s="18">
        <f>('BFI Scores'!S80-'BFI Scores'!D80)^2</f>
        <v>4.0111111111119715E-3</v>
      </c>
      <c r="O80" s="18">
        <f>('BFI Scores'!T80-'BFI Scores'!E80)^2</f>
        <v>1.2768999999999997</v>
      </c>
      <c r="P80" s="18">
        <f>('BFI Scores'!U80-'BFI Scores'!F80)^2</f>
        <v>0.10240000000000019</v>
      </c>
      <c r="Q80" s="18">
        <f>('BFI Scores'!V80-'BFI Scores'!B80)^2</f>
        <v>2.8056249999999994E-2</v>
      </c>
      <c r="R80" s="18">
        <f>('BFI Scores'!W80-'BFI Scores'!C80)^2</f>
        <v>0.22509753086419332</v>
      </c>
      <c r="S80" s="18">
        <f>('BFI Scores'!X80-'BFI Scores'!D80)^2</f>
        <v>2.3171604938271008E-2</v>
      </c>
      <c r="T80" s="18">
        <f>('BFI Scores'!Y80-'BFI Scores'!E80)^2</f>
        <v>1.4823062499999995</v>
      </c>
      <c r="U80" s="18">
        <f>('BFI Scores'!Z80-'BFI Scores'!F80)^2</f>
        <v>0.22089999999999976</v>
      </c>
      <c r="V80" s="18">
        <f>('BFI Scores'!AA80-'BFI Scores'!B80)^2</f>
        <v>5.2899999999999989E-2</v>
      </c>
      <c r="W80" s="18">
        <f>('BFI Scores'!AB80-'BFI Scores'!C80)^2</f>
        <v>0.634677777777783</v>
      </c>
      <c r="X80" s="18">
        <f>('BFI Scores'!AC80-'BFI Scores'!D80)^2</f>
        <v>6.7023456790123948E-2</v>
      </c>
      <c r="Y80" s="18">
        <f>('BFI Scores'!AD80-'BFI Scores'!E80)^2</f>
        <v>1.3923999999999999</v>
      </c>
      <c r="Z80" s="18">
        <f>('BFI Scores'!AE80-'BFI Scores'!F80)^2</f>
        <v>0.59289999999999998</v>
      </c>
      <c r="AA80" s="20">
        <f t="shared" si="10"/>
        <v>0.35368820987654359</v>
      </c>
      <c r="AB80" s="20">
        <f t="shared" si="11"/>
        <v>0.3044096450617283</v>
      </c>
      <c r="AC80" s="20">
        <f t="shared" si="12"/>
        <v>0.34732222222222242</v>
      </c>
      <c r="AD80" s="20">
        <f t="shared" si="13"/>
        <v>0.39590632716049273</v>
      </c>
      <c r="AE80" s="20">
        <f t="shared" si="14"/>
        <v>0.54798024691358138</v>
      </c>
    </row>
    <row r="81" spans="1:31" x14ac:dyDescent="0.2">
      <c r="A81" s="17">
        <v>83594</v>
      </c>
      <c r="B81" s="18">
        <f>('BFI Scores'!G81-'BFI Scores'!B81)^2</f>
        <v>6.8062500000000033E-3</v>
      </c>
      <c r="C81" s="18">
        <f>('BFI Scores'!H81-'BFI Scores'!C81)^2</f>
        <v>2.4093938271604873</v>
      </c>
      <c r="D81" s="18">
        <f>('BFI Scores'!I81-'BFI Scores'!D81)^2</f>
        <v>3.0936901234567951</v>
      </c>
      <c r="E81" s="18">
        <f>('BFI Scores'!J81-'BFI Scores'!E81)^2</f>
        <v>3.7056249999999957E-2</v>
      </c>
      <c r="F81" s="18">
        <f>('BFI Scores'!K81-'BFI Scores'!F81)^2</f>
        <v>9.610000000000031E-2</v>
      </c>
      <c r="G81" s="18">
        <f>('BFI Scores'!L81-'BFI Scores'!B81)^2</f>
        <v>8.9999999999998827E-4</v>
      </c>
      <c r="H81" s="18">
        <f>('BFI Scores'!M81-'BFI Scores'!C81)^2</f>
        <v>2.5849493827160566</v>
      </c>
      <c r="I81" s="18">
        <f>('BFI Scores'!N81-'BFI Scores'!D81)^2</f>
        <v>3.0160111111111223</v>
      </c>
      <c r="J81" s="18">
        <f>('BFI Scores'!O81-'BFI Scores'!E81)^2</f>
        <v>3.3062500000000123E-3</v>
      </c>
      <c r="K81" s="18">
        <f>('BFI Scores'!P81-'BFI Scores'!F81)^2</f>
        <v>0.1155999999999999</v>
      </c>
      <c r="L81" s="18">
        <f>('BFI Scores'!Q81-'BFI Scores'!B81)^2</f>
        <v>2.4806250000000061E-2</v>
      </c>
      <c r="M81" s="18">
        <f>('BFI Scores'!R81-'BFI Scores'!C81)^2</f>
        <v>2.013245679012349</v>
      </c>
      <c r="N81" s="18">
        <f>('BFI Scores'!S81-'BFI Scores'!D81)^2</f>
        <v>1.5293444444444524</v>
      </c>
      <c r="O81" s="18">
        <f>('BFI Scores'!T81-'BFI Scores'!E81)^2</f>
        <v>0.77880625000000048</v>
      </c>
      <c r="P81" s="18">
        <f>('BFI Scores'!U81-'BFI Scores'!F81)^2</f>
        <v>0.40959999999999958</v>
      </c>
      <c r="Q81" s="18">
        <f>('BFI Scores'!V81-'BFI Scores'!B81)^2</f>
        <v>0.18705625000000009</v>
      </c>
      <c r="R81" s="18">
        <f>('BFI Scores'!W81-'BFI Scores'!C81)^2</f>
        <v>3.4307271604938188</v>
      </c>
      <c r="S81" s="18">
        <f>('BFI Scores'!X81-'BFI Scores'!D81)^2</f>
        <v>3.1328999999999985</v>
      </c>
      <c r="T81" s="18">
        <f>('BFI Scores'!Y81-'BFI Scores'!E81)^2</f>
        <v>0.14630625000000022</v>
      </c>
      <c r="U81" s="18">
        <f>('BFI Scores'!Z81-'BFI Scores'!F81)^2</f>
        <v>0.12960000000000024</v>
      </c>
      <c r="V81" s="18">
        <f>('BFI Scores'!AA81-'BFI Scores'!B81)^2</f>
        <v>1.7095562500000003</v>
      </c>
      <c r="W81" s="18">
        <f>('BFI Scores'!AB81-'BFI Scores'!C81)^2</f>
        <v>0.84435679012345877</v>
      </c>
      <c r="X81" s="18">
        <f>('BFI Scores'!AC81-'BFI Scores'!D81)^2</f>
        <v>1.3430234567901254</v>
      </c>
      <c r="Y81" s="18">
        <f>('BFI Scores'!AD81-'BFI Scores'!E81)^2</f>
        <v>0.17639999999999995</v>
      </c>
      <c r="Z81" s="18">
        <f>('BFI Scores'!AE81-'BFI Scores'!F81)^2</f>
        <v>1.2100000000000071E-2</v>
      </c>
      <c r="AA81" s="20">
        <f t="shared" si="10"/>
        <v>1.1286092901234566</v>
      </c>
      <c r="AB81" s="20">
        <f t="shared" si="11"/>
        <v>1.1441533487654356</v>
      </c>
      <c r="AC81" s="20">
        <f t="shared" si="12"/>
        <v>0.95116052469136014</v>
      </c>
      <c r="AD81" s="20">
        <f t="shared" si="13"/>
        <v>1.4053179320987634</v>
      </c>
      <c r="AE81" s="20">
        <f t="shared" si="14"/>
        <v>0.81708729938271696</v>
      </c>
    </row>
    <row r="82" spans="1:31" x14ac:dyDescent="0.2">
      <c r="A82" s="17">
        <v>84074</v>
      </c>
      <c r="B82" s="18">
        <f>('BFI Scores'!G82-'BFI Scores'!B82)^2</f>
        <v>0.2626562500000002</v>
      </c>
      <c r="C82" s="18">
        <f>('BFI Scores'!H82-'BFI Scores'!C82)^2</f>
        <v>0.45337777777777361</v>
      </c>
      <c r="D82" s="18">
        <f>('BFI Scores'!I82-'BFI Scores'!D82)^2</f>
        <v>3.9116049382717039E-2</v>
      </c>
      <c r="E82" s="18">
        <f>('BFI Scores'!J82-'BFI Scores'!E82)^2</f>
        <v>1.5314062499999996</v>
      </c>
      <c r="F82" s="18">
        <f>('BFI Scores'!K82-'BFI Scores'!F82)^2</f>
        <v>4.8400000000000089E-2</v>
      </c>
      <c r="G82" s="18">
        <f>('BFI Scores'!L82-'BFI Scores'!B82)^2</f>
        <v>1.2100000000000002</v>
      </c>
      <c r="H82" s="18">
        <f>('BFI Scores'!M82-'BFI Scores'!C82)^2</f>
        <v>1.9600000000000159E-2</v>
      </c>
      <c r="I82" s="18">
        <f>('BFI Scores'!N82-'BFI Scores'!D82)^2</f>
        <v>0.15822716049382893</v>
      </c>
      <c r="J82" s="18">
        <f>('BFI Scores'!O82-'BFI Scores'!E82)^2</f>
        <v>3.3306249999999999</v>
      </c>
      <c r="K82" s="18">
        <f>('BFI Scores'!P82-'BFI Scores'!F82)^2</f>
        <v>6.25E-2</v>
      </c>
      <c r="L82" s="18">
        <f>('BFI Scores'!Q82-'BFI Scores'!B82)^2</f>
        <v>2.3639062500000003</v>
      </c>
      <c r="M82" s="18">
        <f>('BFI Scores'!R82-'BFI Scores'!C82)^2</f>
        <v>8.7353086419755727E-2</v>
      </c>
      <c r="N82" s="18">
        <f>('BFI Scores'!S82-'BFI Scores'!D82)^2</f>
        <v>0.53452345679012236</v>
      </c>
      <c r="O82" s="18">
        <f>('BFI Scores'!T82-'BFI Scores'!E82)^2</f>
        <v>1.5939062500000005</v>
      </c>
      <c r="P82" s="18">
        <f>('BFI Scores'!U82-'BFI Scores'!F82)^2</f>
        <v>0.26009999999999978</v>
      </c>
      <c r="Q82" s="18">
        <f>('BFI Scores'!V82-'BFI Scores'!B82)^2</f>
        <v>0.9025000000000003</v>
      </c>
      <c r="R82" s="18">
        <f>('BFI Scores'!W82-'BFI Scores'!C82)^2</f>
        <v>0.22404444444444177</v>
      </c>
      <c r="S82" s="18">
        <f>('BFI Scores'!X82-'BFI Scores'!D82)^2</f>
        <v>0.10240000000000019</v>
      </c>
      <c r="T82" s="18">
        <f>('BFI Scores'!Y82-'BFI Scores'!E82)^2</f>
        <v>2.4024999999999994</v>
      </c>
      <c r="U82" s="18">
        <f>('BFI Scores'!Z82-'BFI Scores'!F82)^2</f>
        <v>7.2900000000000006E-2</v>
      </c>
      <c r="V82" s="18">
        <f>('BFI Scores'!AA82-'BFI Scores'!B82)^2</f>
        <v>3.61</v>
      </c>
      <c r="W82" s="18">
        <f>('BFI Scores'!AB82-'BFI Scores'!C82)^2</f>
        <v>0.76271111111110601</v>
      </c>
      <c r="X82" s="18">
        <f>('BFI Scores'!AC82-'BFI Scores'!D82)^2</f>
        <v>1.719012345678991E-2</v>
      </c>
      <c r="Y82" s="18">
        <f>('BFI Scores'!AD82-'BFI Scores'!E82)^2</f>
        <v>3.3764062499999996</v>
      </c>
      <c r="Z82" s="18">
        <f>('BFI Scores'!AE82-'BFI Scores'!F82)^2</f>
        <v>0.12959999999999991</v>
      </c>
      <c r="AA82" s="20">
        <f t="shared" si="10"/>
        <v>0.46699126543209812</v>
      </c>
      <c r="AB82" s="20">
        <f t="shared" si="11"/>
        <v>0.95619043209876575</v>
      </c>
      <c r="AC82" s="20">
        <f t="shared" si="12"/>
        <v>0.96795780864197556</v>
      </c>
      <c r="AD82" s="20">
        <f t="shared" si="13"/>
        <v>0.74086888888888836</v>
      </c>
      <c r="AE82" s="20">
        <f t="shared" si="14"/>
        <v>1.5791814969135791</v>
      </c>
    </row>
    <row r="83" spans="1:31" x14ac:dyDescent="0.2">
      <c r="A83" s="17">
        <v>84157</v>
      </c>
      <c r="B83" s="18">
        <f>('BFI Scores'!G83-'BFI Scores'!B83)^2</f>
        <v>1.6129</v>
      </c>
      <c r="C83" s="18">
        <f>('BFI Scores'!H83-'BFI Scores'!C83)^2</f>
        <v>7.1111111111071758E-4</v>
      </c>
      <c r="D83" s="18">
        <f>('BFI Scores'!I83-'BFI Scores'!D83)^2</f>
        <v>1.4938271604937731E-2</v>
      </c>
      <c r="E83" s="18">
        <f>('BFI Scores'!J83-'BFI Scores'!E83)^2</f>
        <v>3.0800249999999996</v>
      </c>
      <c r="F83" s="18">
        <f>('BFI Scores'!K83-'BFI Scores'!F83)^2</f>
        <v>8.4100000000000022E-2</v>
      </c>
      <c r="G83" s="18">
        <f>('BFI Scores'!L83-'BFI Scores'!B83)^2</f>
        <v>1.8428062499999998</v>
      </c>
      <c r="H83" s="18">
        <f>('BFI Scores'!M83-'BFI Scores'!C83)^2</f>
        <v>1.8982716049383265E-2</v>
      </c>
      <c r="I83" s="18">
        <f>('BFI Scores'!N83-'BFI Scores'!D83)^2</f>
        <v>6.0493827160497541E-3</v>
      </c>
      <c r="J83" s="18">
        <f>('BFI Scores'!O83-'BFI Scores'!E83)^2</f>
        <v>3.6290249999999991</v>
      </c>
      <c r="K83" s="18">
        <f>('BFI Scores'!P83-'BFI Scores'!F83)^2</f>
        <v>8.4100000000000022E-2</v>
      </c>
      <c r="L83" s="18">
        <f>('BFI Scores'!Q83-'BFI Scores'!B83)^2</f>
        <v>3.0888062500000011</v>
      </c>
      <c r="M83" s="18">
        <f>('BFI Scores'!R83-'BFI Scores'!C83)^2</f>
        <v>1.4271604938272712E-3</v>
      </c>
      <c r="N83" s="18">
        <f>('BFI Scores'!S83-'BFI Scores'!D83)^2</f>
        <v>1.2345679012345394E-2</v>
      </c>
      <c r="O83" s="18">
        <f>('BFI Scores'!T83-'BFI Scores'!E83)^2</f>
        <v>3.9700562499999998</v>
      </c>
      <c r="P83" s="18">
        <f>('BFI Scores'!U83-'BFI Scores'!F83)^2</f>
        <v>1.2321000000000006</v>
      </c>
      <c r="Q83" s="18">
        <f>('BFI Scores'!V83-'BFI Scores'!B83)^2</f>
        <v>2.0520562500000001</v>
      </c>
      <c r="R83" s="18">
        <f>('BFI Scores'!W83-'BFI Scores'!C83)^2</f>
        <v>2.4197530864180226E-4</v>
      </c>
      <c r="S83" s="18">
        <f>('BFI Scores'!X83-'BFI Scores'!D83)^2</f>
        <v>4.9382716049372493E-4</v>
      </c>
      <c r="T83" s="18">
        <f>('BFI Scores'!Y83-'BFI Scores'!E83)^2</f>
        <v>1.5750249999999997</v>
      </c>
      <c r="U83" s="18">
        <f>('BFI Scores'!Z83-'BFI Scores'!F83)^2</f>
        <v>5.2900000000000197E-2</v>
      </c>
      <c r="V83" s="18">
        <f>('BFI Scores'!AA83-'BFI Scores'!B83)^2</f>
        <v>1.6770249999999998</v>
      </c>
      <c r="W83" s="18">
        <f>('BFI Scores'!AB83-'BFI Scores'!C83)^2</f>
        <v>2.6123456790122543E-3</v>
      </c>
      <c r="X83" s="18">
        <f>('BFI Scores'!AC83-'BFI Scores'!D83)^2</f>
        <v>5.9753086419750925E-2</v>
      </c>
      <c r="Y83" s="18">
        <f>('BFI Scores'!AD83-'BFI Scores'!E83)^2</f>
        <v>2.9929000000000001</v>
      </c>
      <c r="Z83" s="18">
        <f>('BFI Scores'!AE83-'BFI Scores'!F83)^2</f>
        <v>3.240000000000022E-2</v>
      </c>
      <c r="AA83" s="20">
        <f t="shared" si="10"/>
        <v>0.95853487654320957</v>
      </c>
      <c r="AB83" s="20">
        <f t="shared" si="11"/>
        <v>1.1161926697530864</v>
      </c>
      <c r="AC83" s="20">
        <f t="shared" si="12"/>
        <v>1.6609470679012346</v>
      </c>
      <c r="AD83" s="20">
        <f t="shared" si="13"/>
        <v>0.73614341049382703</v>
      </c>
      <c r="AE83" s="20">
        <f t="shared" si="14"/>
        <v>0.95293808641975253</v>
      </c>
    </row>
    <row r="84" spans="1:31" x14ac:dyDescent="0.2">
      <c r="A84" s="17">
        <v>84547</v>
      </c>
      <c r="B84" s="18">
        <f>('BFI Scores'!G84-'BFI Scores'!B84)^2</f>
        <v>0.35105625000000029</v>
      </c>
      <c r="C84" s="18">
        <f>('BFI Scores'!H84-'BFI Scores'!C84)^2</f>
        <v>0.13444444444443959</v>
      </c>
      <c r="D84" s="18">
        <f>('BFI Scores'!I84-'BFI Scores'!D84)^2</f>
        <v>1.1856790123457016E-2</v>
      </c>
      <c r="E84" s="18">
        <f>('BFI Scores'!J84-'BFI Scores'!E84)^2</f>
        <v>1.6576562500000003</v>
      </c>
      <c r="F84" s="18">
        <f>('BFI Scores'!K84-'BFI Scores'!F84)^2</f>
        <v>0.62410000000000077</v>
      </c>
      <c r="G84" s="18">
        <f>('BFI Scores'!L84-'BFI Scores'!B84)^2</f>
        <v>0.42902499999999977</v>
      </c>
      <c r="H84" s="18">
        <f>('BFI Scores'!M84-'BFI Scores'!C84)^2</f>
        <v>1.7777777777776942E-2</v>
      </c>
      <c r="I84" s="18">
        <f>('BFI Scores'!N84-'BFI Scores'!D84)^2</f>
        <v>4.1530864197538127E-3</v>
      </c>
      <c r="J84" s="18">
        <f>('BFI Scores'!O84-'BFI Scores'!E84)^2</f>
        <v>1.755625</v>
      </c>
      <c r="K84" s="18">
        <f>('BFI Scores'!P84-'BFI Scores'!F84)^2</f>
        <v>0.81000000000000061</v>
      </c>
      <c r="L84" s="18">
        <f>('BFI Scores'!Q84-'BFI Scores'!B84)^2</f>
        <v>5.8443062499999998</v>
      </c>
      <c r="M84" s="18">
        <f>('BFI Scores'!R84-'BFI Scores'!C84)^2</f>
        <v>0.33382716049382993</v>
      </c>
      <c r="N84" s="18">
        <f>('BFI Scores'!S84-'BFI Scores'!D84)^2</f>
        <v>3.6864000000000008</v>
      </c>
      <c r="O84" s="18">
        <f>('BFI Scores'!T84-'BFI Scores'!E84)^2</f>
        <v>1</v>
      </c>
      <c r="P84" s="18">
        <f>('BFI Scores'!U84-'BFI Scores'!F84)^2</f>
        <v>1.2321000000000006</v>
      </c>
      <c r="Q84" s="18">
        <f>('BFI Scores'!V84-'BFI Scores'!B84)^2</f>
        <v>5.8806249999999866E-2</v>
      </c>
      <c r="R84" s="18">
        <f>('BFI Scores'!W84-'BFI Scores'!C84)^2</f>
        <v>0.16901234567901113</v>
      </c>
      <c r="S84" s="18">
        <f>('BFI Scores'!X84-'BFI Scores'!D84)^2</f>
        <v>7.9012345679033095E-5</v>
      </c>
      <c r="T84" s="18">
        <f>('BFI Scores'!Y84-'BFI Scores'!E84)^2</f>
        <v>1.6576562500000003</v>
      </c>
      <c r="U84" s="18">
        <f>('BFI Scores'!Z84-'BFI Scores'!F84)^2</f>
        <v>0.31360000000000054</v>
      </c>
      <c r="V84" s="18">
        <f>('BFI Scores'!AA84-'BFI Scores'!B84)^2</f>
        <v>2.0306250000000019E-2</v>
      </c>
      <c r="W84" s="18">
        <f>('BFI Scores'!AB84-'BFI Scores'!C84)^2</f>
        <v>7.901234567901495E-3</v>
      </c>
      <c r="X84" s="18">
        <f>('BFI Scores'!AC84-'BFI Scores'!D84)^2</f>
        <v>1.8015604938271546</v>
      </c>
      <c r="Y84" s="18">
        <f>('BFI Scores'!AD84-'BFI Scores'!E84)^2</f>
        <v>1.5314062500000001</v>
      </c>
      <c r="Z84" s="18">
        <f>('BFI Scores'!AE84-'BFI Scores'!F84)^2</f>
        <v>1.7424000000000008</v>
      </c>
      <c r="AA84" s="20">
        <f t="shared" si="10"/>
        <v>0.55582274691357958</v>
      </c>
      <c r="AB84" s="20">
        <f t="shared" si="11"/>
        <v>0.60331617283950623</v>
      </c>
      <c r="AC84" s="20">
        <f t="shared" si="12"/>
        <v>2.4193266820987662</v>
      </c>
      <c r="AD84" s="20">
        <f t="shared" si="13"/>
        <v>0.43983077160493816</v>
      </c>
      <c r="AE84" s="20">
        <f t="shared" si="14"/>
        <v>1.0207148456790114</v>
      </c>
    </row>
    <row r="85" spans="1:31" x14ac:dyDescent="0.2">
      <c r="A85" s="17">
        <v>84878</v>
      </c>
      <c r="B85" s="18">
        <f>('BFI Scores'!G85-'BFI Scores'!B85)^2</f>
        <v>2.1389062499999998</v>
      </c>
      <c r="C85" s="18">
        <f>('BFI Scores'!H85-'BFI Scores'!C85)^2</f>
        <v>0.20350123456790076</v>
      </c>
      <c r="D85" s="18">
        <f>('BFI Scores'!I85-'BFI Scores'!D85)^2</f>
        <v>3.5931308641975499</v>
      </c>
      <c r="E85" s="18">
        <f>('BFI Scores'!J85-'BFI Scores'!E85)^2</f>
        <v>1.0404</v>
      </c>
      <c r="F85" s="18">
        <f>('BFI Scores'!K85-'BFI Scores'!F85)^2</f>
        <v>2.2201000000000009</v>
      </c>
      <c r="G85" s="18">
        <f>('BFI Scores'!L85-'BFI Scores'!B85)^2</f>
        <v>2.640625</v>
      </c>
      <c r="H85" s="18">
        <f>('BFI Scores'!M85-'BFI Scores'!C85)^2</f>
        <v>0.66876049382716474</v>
      </c>
      <c r="I85" s="18">
        <f>('BFI Scores'!N85-'BFI Scores'!D85)^2</f>
        <v>5.1176493827160421</v>
      </c>
      <c r="J85" s="18">
        <f>('BFI Scores'!O85-'BFI Scores'!E85)^2</f>
        <v>1.3398062499999994</v>
      </c>
      <c r="K85" s="18">
        <f>('BFI Scores'!P85-'BFI Scores'!F85)^2</f>
        <v>2.1025000000000005</v>
      </c>
      <c r="L85" s="18">
        <f>('BFI Scores'!Q85-'BFI Scores'!B85)^2</f>
        <v>3.0625</v>
      </c>
      <c r="M85" s="18">
        <f>('BFI Scores'!R85-'BFI Scores'!C85)^2</f>
        <v>0.80201975308641038</v>
      </c>
      <c r="N85" s="18">
        <f>('BFI Scores'!S85-'BFI Scores'!D85)^2</f>
        <v>5.5277234567901203</v>
      </c>
      <c r="O85" s="18">
        <f>('BFI Scores'!T85-'BFI Scores'!E85)^2</f>
        <v>0.96530624999999981</v>
      </c>
      <c r="P85" s="18">
        <f>('BFI Scores'!U85-'BFI Scores'!F85)^2</f>
        <v>3.8809000000000009</v>
      </c>
      <c r="Q85" s="18">
        <f>('BFI Scores'!V85-'BFI Scores'!B85)^2</f>
        <v>0.72250000000000014</v>
      </c>
      <c r="R85" s="18">
        <f>('BFI Scores'!W85-'BFI Scores'!C85)^2</f>
        <v>0.49937777777776882</v>
      </c>
      <c r="S85" s="18">
        <f>('BFI Scores'!X85-'BFI Scores'!D85)^2</f>
        <v>3.4266123456790099</v>
      </c>
      <c r="T85" s="18">
        <f>('BFI Scores'!Y85-'BFI Scores'!E85)^2</f>
        <v>0.9409000000000004</v>
      </c>
      <c r="U85" s="18">
        <f>('BFI Scores'!Z85-'BFI Scores'!F85)^2</f>
        <v>2.0735999999999999</v>
      </c>
      <c r="V85" s="18">
        <f>('BFI Scores'!AA85-'BFI Scores'!B85)^2</f>
        <v>5.0625000000000038E-2</v>
      </c>
      <c r="W85" s="18">
        <f>('BFI Scores'!AB85-'BFI Scores'!C85)^2</f>
        <v>0.20350123456790076</v>
      </c>
      <c r="X85" s="18">
        <f>('BFI Scores'!AC85-'BFI Scores'!D85)^2</f>
        <v>3.8940444444444333</v>
      </c>
      <c r="Y85" s="18">
        <f>('BFI Scores'!AD85-'BFI Scores'!E85)^2</f>
        <v>0.20930625000000003</v>
      </c>
      <c r="Z85" s="18">
        <f>('BFI Scores'!AE85-'BFI Scores'!F85)^2</f>
        <v>2.5280999999999993</v>
      </c>
      <c r="AA85" s="20">
        <f t="shared" si="10"/>
        <v>1.8392076697530904</v>
      </c>
      <c r="AB85" s="20">
        <f t="shared" si="11"/>
        <v>2.3738682253086414</v>
      </c>
      <c r="AC85" s="20">
        <f t="shared" si="12"/>
        <v>2.847689891975306</v>
      </c>
      <c r="AD85" s="20">
        <f t="shared" si="13"/>
        <v>1.5325980246913558</v>
      </c>
      <c r="AE85" s="20">
        <f t="shared" si="14"/>
        <v>1.3771153858024667</v>
      </c>
    </row>
    <row r="86" spans="1:31" x14ac:dyDescent="0.2">
      <c r="A86" s="17">
        <v>84905</v>
      </c>
      <c r="B86" s="18">
        <f>('BFI Scores'!G86-'BFI Scores'!B86)^2</f>
        <v>1.2100000000000002</v>
      </c>
      <c r="C86" s="18">
        <f>('BFI Scores'!H86-'BFI Scores'!C86)^2</f>
        <v>0.88359999999999994</v>
      </c>
      <c r="D86" s="18">
        <f>('BFI Scores'!I86-'BFI Scores'!D86)^2</f>
        <v>0.26579753086420188</v>
      </c>
      <c r="E86" s="18">
        <f>('BFI Scores'!J86-'BFI Scores'!E86)^2</f>
        <v>0.92640624999999988</v>
      </c>
      <c r="F86" s="18">
        <f>('BFI Scores'!K86-'BFI Scores'!F86)^2</f>
        <v>8.4100000000000022E-2</v>
      </c>
      <c r="G86" s="18">
        <f>('BFI Scores'!L86-'BFI Scores'!B86)^2</f>
        <v>1.4400000000000004</v>
      </c>
      <c r="H86" s="18">
        <f>('BFI Scores'!M86-'BFI Scores'!C86)^2</f>
        <v>0.65071111111110036</v>
      </c>
      <c r="I86" s="18">
        <f>('BFI Scores'!N86-'BFI Scores'!D86)^2</f>
        <v>1.1472790123456762</v>
      </c>
      <c r="J86" s="18">
        <f>('BFI Scores'!O86-'BFI Scores'!E86)^2</f>
        <v>0.74390624999999966</v>
      </c>
      <c r="K86" s="18">
        <f>('BFI Scores'!P86-'BFI Scores'!F86)^2</f>
        <v>8.1000000000000551E-3</v>
      </c>
      <c r="L86" s="18">
        <f>('BFI Scores'!Q86-'BFI Scores'!B86)^2</f>
        <v>1.890625</v>
      </c>
      <c r="M86" s="18">
        <f>('BFI Scores'!R86-'BFI Scores'!C86)^2</f>
        <v>0.82204444444443248</v>
      </c>
      <c r="N86" s="18">
        <f>('BFI Scores'!S86-'BFI Scores'!D86)^2</f>
        <v>0.52804444444444887</v>
      </c>
      <c r="O86" s="18">
        <f>('BFI Scores'!T86-'BFI Scores'!E86)^2</f>
        <v>1.1025</v>
      </c>
      <c r="P86" s="18">
        <f>('BFI Scores'!U86-'BFI Scores'!F86)^2</f>
        <v>1.0000000000000018E-2</v>
      </c>
      <c r="Q86" s="18">
        <f>('BFI Scores'!V86-'BFI Scores'!B86)^2</f>
        <v>0.25</v>
      </c>
      <c r="R86" s="18">
        <f>('BFI Scores'!W86-'BFI Scores'!C86)^2</f>
        <v>0.46846419753085805</v>
      </c>
      <c r="S86" s="18">
        <f>('BFI Scores'!X86-'BFI Scores'!D86)^2</f>
        <v>0.68337777777778286</v>
      </c>
      <c r="T86" s="18">
        <f>('BFI Scores'!Y86-'BFI Scores'!E86)^2</f>
        <v>0.18062499999999984</v>
      </c>
      <c r="U86" s="18">
        <f>('BFI Scores'!Z86-'BFI Scores'!F86)^2</f>
        <v>1.4400000000000026E-2</v>
      </c>
      <c r="V86" s="18">
        <f>('BFI Scores'!AA86-'BFI Scores'!B86)^2</f>
        <v>5.6406249999999915E-2</v>
      </c>
      <c r="W86" s="18">
        <f>('BFI Scores'!AB86-'BFI Scores'!C86)^2</f>
        <v>0.18394567901234643</v>
      </c>
      <c r="X86" s="18">
        <f>('BFI Scores'!AC86-'BFI Scores'!D86)^2</f>
        <v>2.1641679012345638</v>
      </c>
      <c r="Y86" s="18">
        <f>('BFI Scores'!AD86-'BFI Scores'!E86)^2</f>
        <v>1.0764062500000002</v>
      </c>
      <c r="Z86" s="18">
        <f>('BFI Scores'!AE86-'BFI Scores'!F86)^2</f>
        <v>7.2900000000000256E-2</v>
      </c>
      <c r="AA86" s="20">
        <f t="shared" si="10"/>
        <v>0.67398075617284037</v>
      </c>
      <c r="AB86" s="20">
        <f t="shared" si="11"/>
        <v>0.79799927469135534</v>
      </c>
      <c r="AC86" s="20">
        <f t="shared" si="12"/>
        <v>0.87064277777777621</v>
      </c>
      <c r="AD86" s="20">
        <f t="shared" si="13"/>
        <v>0.31937339506172818</v>
      </c>
      <c r="AE86" s="20">
        <f t="shared" si="14"/>
        <v>0.71076521604938203</v>
      </c>
    </row>
    <row r="87" spans="1:31" x14ac:dyDescent="0.2">
      <c r="A87" s="17">
        <v>85289</v>
      </c>
      <c r="B87" s="18">
        <f>('BFI Scores'!G87-'BFI Scores'!B87)^2</f>
        <v>0.2450250000000001</v>
      </c>
      <c r="C87" s="18">
        <f>('BFI Scores'!H87-'BFI Scores'!C87)^2</f>
        <v>1.9600000000000159E-2</v>
      </c>
      <c r="D87" s="18">
        <f>('BFI Scores'!I87-'BFI Scores'!D87)^2</f>
        <v>0.13526049382716163</v>
      </c>
      <c r="E87" s="18">
        <f>('BFI Scores'!J87-'BFI Scores'!E87)^2</f>
        <v>4.3056250000000004E-2</v>
      </c>
      <c r="F87" s="18">
        <f>('BFI Scores'!K87-'BFI Scores'!F87)^2</f>
        <v>1.0816000000000001</v>
      </c>
      <c r="G87" s="18">
        <f>('BFI Scores'!L87-'BFI Scores'!B87)^2</f>
        <v>0.19802500000000026</v>
      </c>
      <c r="H87" s="18">
        <f>('BFI Scores'!M87-'BFI Scores'!C87)^2</f>
        <v>7.1111111111071758E-4</v>
      </c>
      <c r="I87" s="18">
        <f>('BFI Scores'!N87-'BFI Scores'!D87)^2</f>
        <v>2.4544444444445437E-2</v>
      </c>
      <c r="J87" s="18">
        <f>('BFI Scores'!O87-'BFI Scores'!E87)^2</f>
        <v>6.0025000000000051E-2</v>
      </c>
      <c r="K87" s="18">
        <f>('BFI Scores'!P87-'BFI Scores'!F87)^2</f>
        <v>1</v>
      </c>
      <c r="L87" s="18">
        <f>('BFI Scores'!Q87-'BFI Scores'!B87)^2</f>
        <v>0.17639999999999995</v>
      </c>
      <c r="M87" s="18">
        <f>('BFI Scores'!R87-'BFI Scores'!C87)^2</f>
        <v>7.3501234567900614E-2</v>
      </c>
      <c r="N87" s="18">
        <f>('BFI Scores'!S87-'BFI Scores'!D87)^2</f>
        <v>8.0999999999999753E-3</v>
      </c>
      <c r="O87" s="18">
        <f>('BFI Scores'!T87-'BFI Scores'!E87)^2</f>
        <v>6.0025000000000051E-2</v>
      </c>
      <c r="P87" s="18">
        <f>('BFI Scores'!U87-'BFI Scores'!F87)^2</f>
        <v>2.2800999999999996</v>
      </c>
      <c r="Q87" s="18">
        <f>('BFI Scores'!V87-'BFI Scores'!B87)^2</f>
        <v>0.44889999999999991</v>
      </c>
      <c r="R87" s="18">
        <f>('BFI Scores'!W87-'BFI Scores'!C87)^2</f>
        <v>3.4019753086421869E-2</v>
      </c>
      <c r="S87" s="18">
        <f>('BFI Scores'!X87-'BFI Scores'!D87)^2</f>
        <v>1.1864197530861175E-3</v>
      </c>
      <c r="T87" s="18">
        <f>('BFI Scores'!Y87-'BFI Scores'!E87)^2</f>
        <v>3.3306250000000037E-2</v>
      </c>
      <c r="U87" s="18">
        <f>('BFI Scores'!Z87-'BFI Scores'!F87)^2</f>
        <v>0.84639999999999982</v>
      </c>
      <c r="V87" s="18">
        <f>('BFI Scores'!AA87-'BFI Scores'!B87)^2</f>
        <v>0.71402500000000035</v>
      </c>
      <c r="W87" s="18">
        <f>('BFI Scores'!AB87-'BFI Scores'!C87)^2</f>
        <v>9.2686419753089444E-2</v>
      </c>
      <c r="X87" s="18">
        <f>('BFI Scores'!AC87-'BFI Scores'!D87)^2</f>
        <v>7.7049382716053204E-3</v>
      </c>
      <c r="Y87" s="18">
        <f>('BFI Scores'!AD87-'BFI Scores'!E87)^2</f>
        <v>0.17639999999999995</v>
      </c>
      <c r="Z87" s="18">
        <f>('BFI Scores'!AE87-'BFI Scores'!F87)^2</f>
        <v>1.2996000000000003</v>
      </c>
      <c r="AA87" s="20">
        <f t="shared" si="10"/>
        <v>0.30490834876543238</v>
      </c>
      <c r="AB87" s="20">
        <f t="shared" si="11"/>
        <v>0.25666111111111134</v>
      </c>
      <c r="AC87" s="20">
        <f t="shared" si="12"/>
        <v>0.51962524691358003</v>
      </c>
      <c r="AD87" s="20">
        <f t="shared" si="13"/>
        <v>0.27276248456790153</v>
      </c>
      <c r="AE87" s="20">
        <f t="shared" si="14"/>
        <v>0.45808327160493911</v>
      </c>
    </row>
    <row r="88" spans="1:31" x14ac:dyDescent="0.2">
      <c r="A88" s="17">
        <v>85637</v>
      </c>
      <c r="B88" s="18">
        <f>('BFI Scores'!G88-'BFI Scores'!B88)^2</f>
        <v>0.78765625000000028</v>
      </c>
      <c r="C88" s="18">
        <f>('BFI Scores'!H88-'BFI Scores'!C88)^2</f>
        <v>0.2635111111111178</v>
      </c>
      <c r="D88" s="18">
        <f>('BFI Scores'!I88-'BFI Scores'!D88)^2</f>
        <v>1.022345679012324E-2</v>
      </c>
      <c r="E88" s="18">
        <f>('BFI Scores'!J88-'BFI Scores'!E88)^2</f>
        <v>6.9564062500000006</v>
      </c>
      <c r="F88" s="18">
        <f>('BFI Scores'!K88-'BFI Scores'!F88)^2</f>
        <v>1.9600000000000034E-2</v>
      </c>
      <c r="G88" s="18">
        <f>('BFI Scores'!L88-'BFI Scores'!B88)^2</f>
        <v>0.19140625</v>
      </c>
      <c r="H88" s="18">
        <f>('BFI Scores'!M88-'BFI Scores'!C88)^2</f>
        <v>0.11259753086420025</v>
      </c>
      <c r="I88" s="18">
        <f>('BFI Scores'!N88-'BFI Scores'!D88)^2</f>
        <v>1.2593827160493379E-2</v>
      </c>
      <c r="J88" s="18">
        <f>('BFI Scores'!O88-'BFI Scores'!E88)^2</f>
        <v>6.6951562499999993</v>
      </c>
      <c r="K88" s="18">
        <f>('BFI Scores'!P88-'BFI Scores'!F88)^2</f>
        <v>0.20250000000000015</v>
      </c>
      <c r="L88" s="18">
        <f>('BFI Scores'!Q88-'BFI Scores'!B88)^2</f>
        <v>0.87890625</v>
      </c>
      <c r="M88" s="18">
        <f>('BFI Scores'!R88-'BFI Scores'!C88)^2</f>
        <v>4.7456790123458163E-3</v>
      </c>
      <c r="N88" s="18">
        <f>('BFI Scores'!S88-'BFI Scores'!D88)^2</f>
        <v>0.19851975308641495</v>
      </c>
      <c r="O88" s="18">
        <f>('BFI Scores'!T88-'BFI Scores'!E88)^2</f>
        <v>6.8251562499999991</v>
      </c>
      <c r="P88" s="18">
        <f>('BFI Scores'!U88-'BFI Scores'!F88)^2</f>
        <v>0.6241000000000001</v>
      </c>
      <c r="Q88" s="18">
        <f>('BFI Scores'!V88-'BFI Scores'!B88)^2</f>
        <v>1.5939062500000005</v>
      </c>
      <c r="R88" s="18">
        <f>('BFI Scores'!W88-'BFI Scores'!C88)^2</f>
        <v>0.13607901234567962</v>
      </c>
      <c r="S88" s="18">
        <f>('BFI Scores'!X88-'BFI Scores'!D88)^2</f>
        <v>2.0753086419748245E-3</v>
      </c>
      <c r="T88" s="18">
        <f>('BFI Scores'!Y88-'BFI Scores'!E88)^2</f>
        <v>6.890625</v>
      </c>
      <c r="U88" s="18">
        <f>('BFI Scores'!Z88-'BFI Scores'!F88)^2</f>
        <v>7.2900000000000006E-2</v>
      </c>
      <c r="V88" s="18">
        <f>('BFI Scores'!AA88-'BFI Scores'!B88)^2</f>
        <v>1</v>
      </c>
      <c r="W88" s="18">
        <f>('BFI Scores'!AB88-'BFI Scores'!C88)^2</f>
        <v>0.66151111111110483</v>
      </c>
      <c r="X88" s="18">
        <f>('BFI Scores'!AC88-'BFI Scores'!D88)^2</f>
        <v>0.81200123456789974</v>
      </c>
      <c r="Y88" s="18">
        <f>('BFI Scores'!AD88-'BFI Scores'!E88)^2</f>
        <v>6.8251562499999991</v>
      </c>
      <c r="Z88" s="18">
        <f>('BFI Scores'!AE88-'BFI Scores'!F88)^2</f>
        <v>0.46239999999999959</v>
      </c>
      <c r="AA88" s="20">
        <f t="shared" si="10"/>
        <v>1.6074794135802484</v>
      </c>
      <c r="AB88" s="20">
        <f t="shared" si="11"/>
        <v>1.4428507716049386</v>
      </c>
      <c r="AC88" s="20">
        <f t="shared" si="12"/>
        <v>1.7062855864197519</v>
      </c>
      <c r="AD88" s="20">
        <f t="shared" si="13"/>
        <v>1.7391171141975312</v>
      </c>
      <c r="AE88" s="20">
        <f t="shared" si="14"/>
        <v>1.9522137191358007</v>
      </c>
    </row>
    <row r="89" spans="1:31" x14ac:dyDescent="0.2">
      <c r="A89" s="17">
        <v>85955</v>
      </c>
      <c r="B89" s="18">
        <f>('BFI Scores'!G89-'BFI Scores'!B89)^2</f>
        <v>4.515624999999996E-2</v>
      </c>
      <c r="C89" s="18">
        <f>('BFI Scores'!H89-'BFI Scores'!C89)^2</f>
        <v>4.4444444444448868E-3</v>
      </c>
      <c r="D89" s="18">
        <f>('BFI Scores'!I89-'BFI Scores'!D89)^2</f>
        <v>2.740864197530677E-2</v>
      </c>
      <c r="E89" s="18">
        <f>('BFI Scores'!J89-'BFI Scores'!E89)^2</f>
        <v>2.2275562499999997</v>
      </c>
      <c r="F89" s="18">
        <f>('BFI Scores'!K89-'BFI Scores'!F89)^2</f>
        <v>2.2201000000000009</v>
      </c>
      <c r="G89" s="18">
        <f>('BFI Scores'!L89-'BFI Scores'!B89)^2</f>
        <v>0.18062499999999984</v>
      </c>
      <c r="H89" s="18">
        <f>('BFI Scores'!M89-'BFI Scores'!C89)^2</f>
        <v>0.16000000000000028</v>
      </c>
      <c r="I89" s="18">
        <f>('BFI Scores'!N89-'BFI Scores'!D89)^2</f>
        <v>0.21674197530864606</v>
      </c>
      <c r="J89" s="18">
        <f>('BFI Scores'!O89-'BFI Scores'!E89)^2</f>
        <v>2.4180249999999996</v>
      </c>
      <c r="K89" s="18">
        <f>('BFI Scores'!P89-'BFI Scores'!F89)^2</f>
        <v>3.6864000000000012</v>
      </c>
      <c r="L89" s="18">
        <f>('BFI Scores'!Q89-'BFI Scores'!B89)^2</f>
        <v>0.13140624999999986</v>
      </c>
      <c r="M89" s="18">
        <f>('BFI Scores'!R89-'BFI Scores'!C89)^2</f>
        <v>2.4197530864195699E-2</v>
      </c>
      <c r="N89" s="18">
        <f>('BFI Scores'!S89-'BFI Scores'!D89)^2</f>
        <v>0.71121111111112223</v>
      </c>
      <c r="O89" s="18">
        <f>('BFI Scores'!T89-'BFI Scores'!E89)^2</f>
        <v>1.4220562499999998</v>
      </c>
      <c r="P89" s="18">
        <f>('BFI Scores'!U89-'BFI Scores'!F89)^2</f>
        <v>4.7089000000000016</v>
      </c>
      <c r="Q89" s="18">
        <f>('BFI Scores'!V89-'BFI Scores'!B89)^2</f>
        <v>7.5624999999999956E-2</v>
      </c>
      <c r="R89" s="18">
        <f>('BFI Scores'!W89-'BFI Scores'!C89)^2</f>
        <v>1.111111111110896E-3</v>
      </c>
      <c r="S89" s="18">
        <f>('BFI Scores'!X89-'BFI Scores'!D89)^2</f>
        <v>4.5938271604941197E-3</v>
      </c>
      <c r="T89" s="18">
        <f>('BFI Scores'!Y89-'BFI Scores'!E89)^2</f>
        <v>1.8023062499999996</v>
      </c>
      <c r="U89" s="18">
        <f>('BFI Scores'!Z89-'BFI Scores'!F89)^2</f>
        <v>2.1904000000000012</v>
      </c>
      <c r="V89" s="18">
        <f>('BFI Scores'!AA89-'BFI Scores'!B89)^2</f>
        <v>1.2656249999999959E-2</v>
      </c>
      <c r="W89" s="18">
        <f>('BFI Scores'!AB89-'BFI Scores'!C89)^2</f>
        <v>0.26123456790123362</v>
      </c>
      <c r="X89" s="18">
        <f>('BFI Scores'!AC89-'BFI Scores'!D89)^2</f>
        <v>0.65610000000000013</v>
      </c>
      <c r="Y89" s="18">
        <f>('BFI Scores'!AD89-'BFI Scores'!E89)^2</f>
        <v>1.9390562499999995</v>
      </c>
      <c r="Z89" s="18">
        <f>('BFI Scores'!AE89-'BFI Scores'!F89)^2</f>
        <v>5.5225000000000026</v>
      </c>
      <c r="AA89" s="20">
        <f t="shared" si="10"/>
        <v>0.90493311728395054</v>
      </c>
      <c r="AB89" s="20">
        <f t="shared" si="11"/>
        <v>1.3323583950617295</v>
      </c>
      <c r="AC89" s="20">
        <f t="shared" si="12"/>
        <v>1.3995542283950637</v>
      </c>
      <c r="AD89" s="20">
        <f t="shared" si="13"/>
        <v>0.81480723765432117</v>
      </c>
      <c r="AE89" s="20">
        <f t="shared" si="14"/>
        <v>1.6783094135802472</v>
      </c>
    </row>
    <row r="90" spans="1:31" x14ac:dyDescent="0.2">
      <c r="A90" s="17">
        <v>87894</v>
      </c>
      <c r="B90" s="18">
        <f>('BFI Scores'!G90-'BFI Scores'!B90)^2</f>
        <v>0.10562500000000012</v>
      </c>
      <c r="C90" s="18">
        <f>('BFI Scores'!H90-'BFI Scores'!C90)^2</f>
        <v>6.5308641975305906E-2</v>
      </c>
      <c r="D90" s="18">
        <f>('BFI Scores'!I90-'BFI Scores'!D90)^2</f>
        <v>1.7777777777777688</v>
      </c>
      <c r="E90" s="18">
        <f>('BFI Scores'!J90-'BFI Scores'!E90)^2</f>
        <v>0.15015624999999996</v>
      </c>
      <c r="F90" s="18">
        <f>('BFI Scores'!K90-'BFI Scores'!F90)^2</f>
        <v>4.4100000000000019</v>
      </c>
      <c r="G90" s="18">
        <f>('BFI Scores'!L90-'BFI Scores'!B90)^2</f>
        <v>0.95062500000000016</v>
      </c>
      <c r="H90" s="18">
        <f>('BFI Scores'!M90-'BFI Scores'!C90)^2</f>
        <v>0.11864197530863868</v>
      </c>
      <c r="I90" s="18">
        <f>('BFI Scores'!N90-'BFI Scores'!D90)^2</f>
        <v>1.3611111111111192</v>
      </c>
      <c r="J90" s="18">
        <f>('BFI Scores'!O90-'BFI Scores'!E90)^2</f>
        <v>0.25</v>
      </c>
      <c r="K90" s="18">
        <f>('BFI Scores'!P90-'BFI Scores'!F90)^2</f>
        <v>3.6481000000000003</v>
      </c>
      <c r="L90" s="18">
        <f>('BFI Scores'!Q90-'BFI Scores'!B90)^2</f>
        <v>1.0251562500000004</v>
      </c>
      <c r="M90" s="18">
        <f>('BFI Scores'!R90-'BFI Scores'!C90)^2</f>
        <v>0.26123456790123362</v>
      </c>
      <c r="N90" s="18">
        <f>('BFI Scores'!S90-'BFI Scores'!D90)^2</f>
        <v>1.0223456790123437</v>
      </c>
      <c r="O90" s="18">
        <f>('BFI Scores'!T90-'BFI Scores'!E90)^2</f>
        <v>0.25</v>
      </c>
      <c r="P90" s="18">
        <f>('BFI Scores'!U90-'BFI Scores'!F90)^2</f>
        <v>3.8809000000000009</v>
      </c>
      <c r="Q90" s="18">
        <f>('BFI Scores'!V90-'BFI Scores'!B90)^2</f>
        <v>5.0625000000000038E-2</v>
      </c>
      <c r="R90" s="18">
        <f>('BFI Scores'!W90-'BFI Scores'!C90)^2</f>
        <v>8.99999999999999E-2</v>
      </c>
      <c r="S90" s="18">
        <f>('BFI Scores'!X90-'BFI Scores'!D90)^2</f>
        <v>2.5245679012345712</v>
      </c>
      <c r="T90" s="18">
        <f>('BFI Scores'!Y90-'BFI Scores'!E90)^2</f>
        <v>5.6249999999999937E-3</v>
      </c>
      <c r="U90" s="18">
        <f>('BFI Scores'!Z90-'BFI Scores'!F90)^2</f>
        <v>4.9284000000000008</v>
      </c>
      <c r="V90" s="18">
        <f>('BFI Scores'!AA90-'BFI Scores'!B90)^2</f>
        <v>8.2656250000000056E-2</v>
      </c>
      <c r="W90" s="18">
        <f>('BFI Scores'!AB90-'BFI Scores'!C90)^2</f>
        <v>0</v>
      </c>
      <c r="X90" s="18">
        <f>('BFI Scores'!AC90-'BFI Scores'!D90)^2</f>
        <v>0.83012345679012078</v>
      </c>
      <c r="Y90" s="18">
        <f>('BFI Scores'!AD90-'BFI Scores'!E90)^2</f>
        <v>5.6406250000000019E-2</v>
      </c>
      <c r="Z90" s="18">
        <f>('BFI Scores'!AE90-'BFI Scores'!F90)^2</f>
        <v>4.5796000000000028</v>
      </c>
      <c r="AA90" s="20">
        <f t="shared" si="10"/>
        <v>1.3017735339506153</v>
      </c>
      <c r="AB90" s="20">
        <f t="shared" si="11"/>
        <v>1.2656956172839515</v>
      </c>
      <c r="AC90" s="20">
        <f t="shared" si="12"/>
        <v>1.2879272993827158</v>
      </c>
      <c r="AD90" s="20">
        <f t="shared" si="13"/>
        <v>1.5198435802469146</v>
      </c>
      <c r="AE90" s="20">
        <f t="shared" si="14"/>
        <v>1.1097571913580246</v>
      </c>
    </row>
    <row r="91" spans="1:31" x14ac:dyDescent="0.2">
      <c r="A91" s="17">
        <v>88807</v>
      </c>
      <c r="B91" s="18">
        <f>('BFI Scores'!G91-'BFI Scores'!B91)^2</f>
        <v>0.38130624999999962</v>
      </c>
      <c r="C91" s="18">
        <f>('BFI Scores'!H91-'BFI Scores'!C91)^2</f>
        <v>9.4727160493828344E-2</v>
      </c>
      <c r="D91" s="18">
        <f>('BFI Scores'!I91-'BFI Scores'!D91)^2</f>
        <v>1.0885444444444381</v>
      </c>
      <c r="E91" s="18">
        <f>('BFI Scores'!J91-'BFI Scores'!E91)^2</f>
        <v>2.8899999999999974E-2</v>
      </c>
      <c r="F91" s="18">
        <f>('BFI Scores'!K91-'BFI Scores'!F91)^2</f>
        <v>5.2899999999999989E-2</v>
      </c>
      <c r="G91" s="18">
        <f>('BFI Scores'!L91-'BFI Scores'!B91)^2</f>
        <v>0.29430624999999999</v>
      </c>
      <c r="H91" s="18">
        <f>('BFI Scores'!M91-'BFI Scores'!C91)^2</f>
        <v>0.39689999999999986</v>
      </c>
      <c r="I91" s="18">
        <f>('BFI Scores'!N91-'BFI Scores'!D91)^2</f>
        <v>2.1154086419752969</v>
      </c>
      <c r="J91" s="18">
        <f>('BFI Scores'!O91-'BFI Scores'!E91)^2</f>
        <v>0.75690000000000024</v>
      </c>
      <c r="K91" s="18">
        <f>('BFI Scores'!P91-'BFI Scores'!F91)^2</f>
        <v>2.2499999999999975E-2</v>
      </c>
      <c r="L91" s="18">
        <f>('BFI Scores'!Q91-'BFI Scores'!B91)^2</f>
        <v>0.46239999999999959</v>
      </c>
      <c r="M91" s="18">
        <f>('BFI Scores'!R91-'BFI Scores'!C91)^2</f>
        <v>0.21467777777777494</v>
      </c>
      <c r="N91" s="18">
        <f>('BFI Scores'!S91-'BFI Scores'!D91)^2</f>
        <v>3.7334827160493762</v>
      </c>
      <c r="O91" s="18">
        <f>('BFI Scores'!T91-'BFI Scores'!E91)^2</f>
        <v>1.1718062499999999</v>
      </c>
      <c r="P91" s="18">
        <f>('BFI Scores'!U91-'BFI Scores'!F91)^2</f>
        <v>4.0000000000000072E-4</v>
      </c>
      <c r="Q91" s="18">
        <f>('BFI Scores'!V91-'BFI Scores'!B91)^2</f>
        <v>1.4400000000000026E-2</v>
      </c>
      <c r="R91" s="18">
        <f>('BFI Scores'!W91-'BFI Scores'!C91)^2</f>
        <v>2.7271604938269001E-3</v>
      </c>
      <c r="S91" s="18">
        <f>('BFI Scores'!X91-'BFI Scores'!D91)^2</f>
        <v>2.9622234567901202</v>
      </c>
      <c r="T91" s="18">
        <f>('BFI Scores'!Y91-'BFI Scores'!E91)^2</f>
        <v>0.29702499999999993</v>
      </c>
      <c r="U91" s="18">
        <f>('BFI Scores'!Z91-'BFI Scores'!F91)^2</f>
        <v>1.2099999999999972E-2</v>
      </c>
      <c r="V91" s="18">
        <f>('BFI Scores'!AA91-'BFI Scores'!B91)^2</f>
        <v>0.57002499999999989</v>
      </c>
      <c r="W91" s="18">
        <f>('BFI Scores'!AB91-'BFI Scores'!C91)^2</f>
        <v>0.23576419753085898</v>
      </c>
      <c r="X91" s="18">
        <f>('BFI Scores'!AC91-'BFI Scores'!D91)^2</f>
        <v>3.7334827160493762</v>
      </c>
      <c r="Y91" s="18">
        <f>('BFI Scores'!AD91-'BFI Scores'!E91)^2</f>
        <v>3.0450250000000003</v>
      </c>
      <c r="Z91" s="18">
        <f>('BFI Scores'!AE91-'BFI Scores'!F91)^2</f>
        <v>0.6241000000000001</v>
      </c>
      <c r="AA91" s="20">
        <f t="shared" si="10"/>
        <v>0.3292755709876532</v>
      </c>
      <c r="AB91" s="20">
        <f t="shared" si="11"/>
        <v>0.71720297839505942</v>
      </c>
      <c r="AC91" s="20">
        <f t="shared" si="12"/>
        <v>1.1165533487654302</v>
      </c>
      <c r="AD91" s="20">
        <f t="shared" si="13"/>
        <v>0.65769512345678938</v>
      </c>
      <c r="AE91" s="20">
        <f t="shared" si="14"/>
        <v>1.6416793827160472</v>
      </c>
    </row>
    <row r="92" spans="1:31" x14ac:dyDescent="0.2">
      <c r="A92" s="17">
        <v>91927</v>
      </c>
      <c r="B92" s="18">
        <f>('BFI Scores'!G92-'BFI Scores'!B92)^2</f>
        <v>1.9043999999999996</v>
      </c>
      <c r="C92" s="18">
        <f>('BFI Scores'!H92-'BFI Scores'!C92)^2</f>
        <v>0.1887419753086462</v>
      </c>
      <c r="D92" s="18">
        <f>('BFI Scores'!I92-'BFI Scores'!D92)^2</f>
        <v>0.60666790123456937</v>
      </c>
      <c r="E92" s="18">
        <f>('BFI Scores'!J92-'BFI Scores'!E92)^2</f>
        <v>7.2900000000000006E-2</v>
      </c>
      <c r="F92" s="18">
        <f>('BFI Scores'!K92-'BFI Scores'!F92)^2</f>
        <v>2.1025000000000005</v>
      </c>
      <c r="G92" s="18">
        <f>('BFI Scores'!L92-'BFI Scores'!B92)^2</f>
        <v>5.2555562499999997</v>
      </c>
      <c r="H92" s="18">
        <f>('BFI Scores'!M92-'BFI Scores'!C92)^2</f>
        <v>0.21881604938271798</v>
      </c>
      <c r="I92" s="18">
        <f>('BFI Scores'!N92-'BFI Scores'!D92)^2</f>
        <v>0.81200123456789897</v>
      </c>
      <c r="J92" s="18">
        <f>('BFI Scores'!O92-'BFI Scores'!E92)^2</f>
        <v>2.1025000000000005E-2</v>
      </c>
      <c r="K92" s="18">
        <f>('BFI Scores'!P92-'BFI Scores'!F92)^2</f>
        <v>4.2849000000000013</v>
      </c>
      <c r="L92" s="18">
        <f>('BFI Scores'!Q92-'BFI Scores'!B92)^2</f>
        <v>3.5815562500000002</v>
      </c>
      <c r="M92" s="18">
        <f>('BFI Scores'!R92-'BFI Scores'!C92)^2</f>
        <v>0.15209999999999976</v>
      </c>
      <c r="N92" s="18">
        <f>('BFI Scores'!S92-'BFI Scores'!D92)^2</f>
        <v>0.67787777777777181</v>
      </c>
      <c r="O92" s="18">
        <f>('BFI Scores'!T92-'BFI Scores'!E92)^2</f>
        <v>0.14630625000000005</v>
      </c>
      <c r="P92" s="18">
        <f>('BFI Scores'!U92-'BFI Scores'!F92)^2</f>
        <v>2.7889000000000013</v>
      </c>
      <c r="Q92" s="18">
        <f>('BFI Scores'!V92-'BFI Scores'!B92)^2</f>
        <v>1.0353062500000001</v>
      </c>
      <c r="R92" s="18">
        <f>('BFI Scores'!W92-'BFI Scores'!C92)^2</f>
        <v>7.7779012345679549E-2</v>
      </c>
      <c r="S92" s="18">
        <f>('BFI Scores'!X92-'BFI Scores'!D92)^2</f>
        <v>0.33511234567901327</v>
      </c>
      <c r="T92" s="18">
        <f>('BFI Scores'!Y92-'BFI Scores'!E92)^2</f>
        <v>1.1556250000000032E-2</v>
      </c>
      <c r="U92" s="18">
        <f>('BFI Scores'!Z92-'BFI Scores'!F92)^2</f>
        <v>0.81000000000000061</v>
      </c>
      <c r="V92" s="18">
        <f>('BFI Scores'!AA92-'BFI Scores'!B92)^2</f>
        <v>1.1935562499999997</v>
      </c>
      <c r="W92" s="18">
        <f>('BFI Scores'!AB92-'BFI Scores'!C92)^2</f>
        <v>0.28563086419753664</v>
      </c>
      <c r="X92" s="18">
        <f>('BFI Scores'!AC92-'BFI Scores'!D92)^2</f>
        <v>0.64177901234567614</v>
      </c>
      <c r="Y92" s="18">
        <f>('BFI Scores'!AD92-'BFI Scores'!E92)^2</f>
        <v>0.41602500000000003</v>
      </c>
      <c r="Z92" s="18">
        <f>('BFI Scores'!AE92-'BFI Scores'!F92)^2</f>
        <v>2.2801000000000009</v>
      </c>
      <c r="AA92" s="20">
        <f t="shared" si="10"/>
        <v>0.97504197530864334</v>
      </c>
      <c r="AB92" s="20">
        <f t="shared" si="11"/>
        <v>2.1184597067901239</v>
      </c>
      <c r="AC92" s="20">
        <f t="shared" si="12"/>
        <v>1.4693480555555545</v>
      </c>
      <c r="AD92" s="20">
        <f t="shared" si="13"/>
        <v>0.45395077160493874</v>
      </c>
      <c r="AE92" s="20">
        <f t="shared" si="14"/>
        <v>0.96341822530864252</v>
      </c>
    </row>
    <row r="93" spans="1:31" x14ac:dyDescent="0.2">
      <c r="A93" s="17">
        <v>92023</v>
      </c>
      <c r="B93" s="18">
        <f>('BFI Scores'!G93-'BFI Scores'!B93)^2</f>
        <v>0</v>
      </c>
      <c r="C93" s="18">
        <f>('BFI Scores'!H93-'BFI Scores'!C93)^2</f>
        <v>2.118641975308477E-2</v>
      </c>
      <c r="D93" s="18">
        <f>('BFI Scores'!I93-'BFI Scores'!D93)^2</f>
        <v>3.4885938271605013</v>
      </c>
      <c r="E93" s="18">
        <f>('BFI Scores'!J93-'BFI Scores'!E93)^2</f>
        <v>7.5624999999999956E-2</v>
      </c>
      <c r="F93" s="18">
        <f>('BFI Scores'!K93-'BFI Scores'!F93)^2</f>
        <v>0.86490000000000034</v>
      </c>
      <c r="G93" s="18">
        <f>('BFI Scores'!L93-'BFI Scores'!B93)^2</f>
        <v>0.3600000000000001</v>
      </c>
      <c r="H93" s="18">
        <f>('BFI Scores'!M93-'BFI Scores'!C93)^2</f>
        <v>1.2100000000000071E-2</v>
      </c>
      <c r="I93" s="18">
        <f>('BFI Scores'!N93-'BFI Scores'!D93)^2</f>
        <v>1.0700753086419652</v>
      </c>
      <c r="J93" s="18">
        <f>('BFI Scores'!O93-'BFI Scores'!E93)^2</f>
        <v>0.48999999999999994</v>
      </c>
      <c r="K93" s="18">
        <f>('BFI Scores'!P93-'BFI Scores'!F93)^2</f>
        <v>0.40960000000000074</v>
      </c>
      <c r="L93" s="18">
        <f>('BFI Scores'!Q93-'BFI Scores'!B93)^2</f>
        <v>2.06640625</v>
      </c>
      <c r="M93" s="18">
        <f>('BFI Scores'!R93-'BFI Scores'!C93)^2</f>
        <v>4.593827160494059E-3</v>
      </c>
      <c r="N93" s="18">
        <f>('BFI Scores'!S93-'BFI Scores'!D93)^2</f>
        <v>3.1250382716049447</v>
      </c>
      <c r="O93" s="18">
        <f>('BFI Scores'!T93-'BFI Scores'!E93)^2</f>
        <v>0.12250000000000007</v>
      </c>
      <c r="P93" s="18">
        <f>('BFI Scores'!U93-'BFI Scores'!F93)^2</f>
        <v>1</v>
      </c>
      <c r="Q93" s="18">
        <f>('BFI Scores'!V93-'BFI Scores'!B93)^2</f>
        <v>4.000000000000007E-2</v>
      </c>
      <c r="R93" s="18">
        <f>('BFI Scores'!W93-'BFI Scores'!C93)^2</f>
        <v>4.593827160494059E-3</v>
      </c>
      <c r="S93" s="18">
        <f>('BFI Scores'!X93-'BFI Scores'!D93)^2</f>
        <v>4.9927419753086211</v>
      </c>
      <c r="T93" s="18">
        <f>('BFI Scores'!Y93-'BFI Scores'!E93)^2</f>
        <v>1.5625E-2</v>
      </c>
      <c r="U93" s="18">
        <f>('BFI Scores'!Z93-'BFI Scores'!F93)^2</f>
        <v>0.36000000000000065</v>
      </c>
      <c r="V93" s="18">
        <f>('BFI Scores'!AA93-'BFI Scores'!B93)^2</f>
        <v>2.2876562500000004</v>
      </c>
      <c r="W93" s="18">
        <f>('BFI Scores'!AB93-'BFI Scores'!C93)^2</f>
        <v>6.5877777777779228E-2</v>
      </c>
      <c r="X93" s="18">
        <f>('BFI Scores'!AC93-'BFI Scores'!D93)^2</f>
        <v>2.6714086419752929</v>
      </c>
      <c r="Y93" s="18">
        <f>('BFI Scores'!AD93-'BFI Scores'!E93)^2</f>
        <v>5.1756250000000019</v>
      </c>
      <c r="Z93" s="18">
        <f>('BFI Scores'!AE93-'BFI Scores'!F93)^2</f>
        <v>1.6129</v>
      </c>
      <c r="AA93" s="20">
        <f t="shared" si="10"/>
        <v>0.89006104938271735</v>
      </c>
      <c r="AB93" s="20">
        <f t="shared" si="11"/>
        <v>0.4683550617283932</v>
      </c>
      <c r="AC93" s="20">
        <f t="shared" si="12"/>
        <v>1.263707669753088</v>
      </c>
      <c r="AD93" s="20">
        <f t="shared" si="13"/>
        <v>1.0825921604938231</v>
      </c>
      <c r="AE93" s="20">
        <f t="shared" si="14"/>
        <v>2.3626935339506145</v>
      </c>
    </row>
    <row r="94" spans="1:31" x14ac:dyDescent="0.2">
      <c r="A94" s="17">
        <v>93346</v>
      </c>
      <c r="B94" s="18">
        <f>('BFI Scores'!G94-'BFI Scores'!B94)^2</f>
        <v>6.5024999999999944E-2</v>
      </c>
      <c r="C94" s="18">
        <f>('BFI Scores'!H94-'BFI Scores'!C94)^2</f>
        <v>1.3507604938271565</v>
      </c>
      <c r="D94" s="18">
        <f>('BFI Scores'!I94-'BFI Scores'!D94)^2</f>
        <v>3.8716049382713784E-3</v>
      </c>
      <c r="E94" s="18">
        <f>('BFI Scores'!J94-'BFI Scores'!E94)^2</f>
        <v>4.9284000000000008</v>
      </c>
      <c r="F94" s="18">
        <f>('BFI Scores'!K94-'BFI Scores'!F94)^2</f>
        <v>1.5376000000000005</v>
      </c>
      <c r="G94" s="18">
        <f>('BFI Scores'!L94-'BFI Scores'!B94)^2</f>
        <v>0.17430625</v>
      </c>
      <c r="H94" s="18">
        <f>('BFI Scores'!M94-'BFI Scores'!C94)^2</f>
        <v>1.1760197530864329</v>
      </c>
      <c r="I94" s="18">
        <f>('BFI Scores'!N94-'BFI Scores'!D94)^2</f>
        <v>3.0044444444446757E-2</v>
      </c>
      <c r="J94" s="18">
        <f>('BFI Scores'!O94-'BFI Scores'!E94)^2</f>
        <v>4.9840562500000001</v>
      </c>
      <c r="K94" s="18">
        <f>('BFI Scores'!P94-'BFI Scores'!F94)^2</f>
        <v>1</v>
      </c>
      <c r="L94" s="18">
        <f>('BFI Scores'!Q94-'BFI Scores'!B94)^2</f>
        <v>0.84180624999999998</v>
      </c>
      <c r="M94" s="18">
        <f>('BFI Scores'!R94-'BFI Scores'!C94)^2</f>
        <v>2.2700444444444554</v>
      </c>
      <c r="N94" s="18">
        <f>('BFI Scores'!S94-'BFI Scores'!D94)^2</f>
        <v>0.108167901234569</v>
      </c>
      <c r="O94" s="18">
        <f>('BFI Scores'!T94-'BFI Scores'!E94)^2</f>
        <v>4.3890250000000011</v>
      </c>
      <c r="P94" s="18">
        <f>('BFI Scores'!U94-'BFI Scores'!F94)^2</f>
        <v>2.3408999999999995</v>
      </c>
      <c r="Q94" s="18">
        <f>('BFI Scores'!V94-'BFI Scores'!B94)^2</f>
        <v>8.5556249999999986E-2</v>
      </c>
      <c r="R94" s="18">
        <f>('BFI Scores'!W94-'BFI Scores'!C94)^2</f>
        <v>1.9787111111111213</v>
      </c>
      <c r="S94" s="18">
        <f>('BFI Scores'!X94-'BFI Scores'!D94)^2</f>
        <v>0.108167901234569</v>
      </c>
      <c r="T94" s="18">
        <f>('BFI Scores'!Y94-'BFI Scores'!E94)^2</f>
        <v>4.8180250000000013</v>
      </c>
      <c r="U94" s="18">
        <f>('BFI Scores'!Z94-'BFI Scores'!F94)^2</f>
        <v>1.2320999999999998</v>
      </c>
      <c r="V94" s="18">
        <f>('BFI Scores'!AA94-'BFI Scores'!B94)^2</f>
        <v>5.4056249999999965E-2</v>
      </c>
      <c r="W94" s="18">
        <f>('BFI Scores'!AB94-'BFI Scores'!C94)^2</f>
        <v>2.0417234567901272</v>
      </c>
      <c r="X94" s="18">
        <f>('BFI Scores'!AC94-'BFI Scores'!D94)^2</f>
        <v>0.12172345679012371</v>
      </c>
      <c r="Y94" s="18">
        <f>('BFI Scores'!AD94-'BFI Scores'!E94)^2</f>
        <v>4.1820249999999994</v>
      </c>
      <c r="Z94" s="18">
        <f>('BFI Scores'!AE94-'BFI Scores'!F94)^2</f>
        <v>2.7888999999999999</v>
      </c>
      <c r="AA94" s="20">
        <f t="shared" si="10"/>
        <v>1.5771314197530857</v>
      </c>
      <c r="AB94" s="20">
        <f t="shared" si="11"/>
        <v>1.4728853395061758</v>
      </c>
      <c r="AC94" s="20">
        <f t="shared" si="12"/>
        <v>1.989988719135805</v>
      </c>
      <c r="AD94" s="20">
        <f t="shared" si="13"/>
        <v>1.6445120524691383</v>
      </c>
      <c r="AE94" s="20">
        <f t="shared" si="14"/>
        <v>1.83768563271605</v>
      </c>
    </row>
    <row r="95" spans="1:31" x14ac:dyDescent="0.2">
      <c r="A95" s="17">
        <v>93826</v>
      </c>
      <c r="B95" s="18">
        <f>('BFI Scores'!G95-'BFI Scores'!B95)^2</f>
        <v>1.2939062500000005</v>
      </c>
      <c r="C95" s="18">
        <f>('BFI Scores'!H95-'BFI Scores'!C95)^2</f>
        <v>0.2157086419753047</v>
      </c>
      <c r="D95" s="18">
        <f>('BFI Scores'!I95-'BFI Scores'!D95)^2</f>
        <v>0.72817777777777271</v>
      </c>
      <c r="E95" s="18">
        <f>('BFI Scores'!J95-'BFI Scores'!E95)^2</f>
        <v>2.25</v>
      </c>
      <c r="F95" s="18">
        <f>('BFI Scores'!K95-'BFI Scores'!F95)^2</f>
        <v>3.4968999999999997</v>
      </c>
      <c r="G95" s="18">
        <f>('BFI Scores'!L95-'BFI Scores'!B95)^2</f>
        <v>1.2939062500000005</v>
      </c>
      <c r="H95" s="18">
        <f>('BFI Scores'!M95-'BFI Scores'!C95)^2</f>
        <v>0.35733827160492948</v>
      </c>
      <c r="I95" s="18">
        <f>('BFI Scores'!N95-'BFI Scores'!D95)^2</f>
        <v>0.67240000000000044</v>
      </c>
      <c r="J95" s="18">
        <f>('BFI Scores'!O95-'BFI Scores'!E95)^2</f>
        <v>2.25</v>
      </c>
      <c r="K95" s="18">
        <f>('BFI Scores'!P95-'BFI Scores'!F95)^2</f>
        <v>3.3855999999999993</v>
      </c>
      <c r="L95" s="18">
        <f>('BFI Scores'!Q95-'BFI Scores'!B95)^2</f>
        <v>1.5314062499999996</v>
      </c>
      <c r="M95" s="18">
        <f>('BFI Scores'!R95-'BFI Scores'!C95)^2</f>
        <v>0.1955604938271584</v>
      </c>
      <c r="N95" s="18">
        <f>('BFI Scores'!S95-'BFI Scores'!D95)^2</f>
        <v>0.44148641975308106</v>
      </c>
      <c r="O95" s="18">
        <f>('BFI Scores'!T95-'BFI Scores'!E95)^2</f>
        <v>1.5625</v>
      </c>
      <c r="P95" s="18">
        <f>('BFI Scores'!U95-'BFI Scores'!F95)^2</f>
        <v>3.2399999999999993</v>
      </c>
      <c r="Q95" s="18">
        <f>('BFI Scores'!V95-'BFI Scores'!B95)^2</f>
        <v>0.140625</v>
      </c>
      <c r="R95" s="18">
        <f>('BFI Scores'!W95-'BFI Scores'!C95)^2</f>
        <v>0.53452345679012236</v>
      </c>
      <c r="S95" s="18">
        <f>('BFI Scores'!X95-'BFI Scores'!D95)^2</f>
        <v>4.8400000000000089E-2</v>
      </c>
      <c r="T95" s="18">
        <f>('BFI Scores'!Y95-'BFI Scores'!E95)^2</f>
        <v>2.2126562500000002</v>
      </c>
      <c r="U95" s="18">
        <f>('BFI Scores'!Z95-'BFI Scores'!F95)^2</f>
        <v>2.3715999999999999</v>
      </c>
      <c r="V95" s="18">
        <f>('BFI Scores'!AA95-'BFI Scores'!B95)^2</f>
        <v>0.15999999999999992</v>
      </c>
      <c r="W95" s="18">
        <f>('BFI Scores'!AB95-'BFI Scores'!C95)^2</f>
        <v>0.34417777777778169</v>
      </c>
      <c r="X95" s="18">
        <f>('BFI Scores'!AC95-'BFI Scores'!D95)^2</f>
        <v>0.10963456790123385</v>
      </c>
      <c r="Y95" s="18">
        <f>('BFI Scores'!AD95-'BFI Scores'!E95)^2</f>
        <v>0.95062500000000016</v>
      </c>
      <c r="Z95" s="18">
        <f>('BFI Scores'!AE95-'BFI Scores'!F95)^2</f>
        <v>2.4335999999999989</v>
      </c>
      <c r="AA95" s="20">
        <f t="shared" si="10"/>
        <v>1.5969385339506155</v>
      </c>
      <c r="AB95" s="20">
        <f t="shared" si="11"/>
        <v>1.591848904320986</v>
      </c>
      <c r="AC95" s="20">
        <f t="shared" si="12"/>
        <v>1.3941906327160478</v>
      </c>
      <c r="AD95" s="20">
        <f t="shared" si="13"/>
        <v>1.0615609413580245</v>
      </c>
      <c r="AE95" s="20">
        <f t="shared" si="14"/>
        <v>0.79960746913580283</v>
      </c>
    </row>
    <row r="96" spans="1:31" x14ac:dyDescent="0.2">
      <c r="A96" s="17">
        <v>93940</v>
      </c>
      <c r="B96" s="18">
        <f>('BFI Scores'!G96-'BFI Scores'!B96)^2</f>
        <v>0.23765624999999982</v>
      </c>
      <c r="C96" s="18">
        <f>('BFI Scores'!H96-'BFI Scores'!C96)^2</f>
        <v>3.1211111111112237E-2</v>
      </c>
      <c r="D96" s="18">
        <f>('BFI Scores'!I96-'BFI Scores'!D96)^2</f>
        <v>3.0430864197531049</v>
      </c>
      <c r="E96" s="18">
        <f>('BFI Scores'!J96-'BFI Scores'!E96)^2</f>
        <v>4.8951562499999994</v>
      </c>
      <c r="F96" s="18">
        <f>('BFI Scores'!K96-'BFI Scores'!F96)^2</f>
        <v>0.10890000000000005</v>
      </c>
      <c r="G96" s="18">
        <f>('BFI Scores'!L96-'BFI Scores'!B96)^2</f>
        <v>0.31640625</v>
      </c>
      <c r="H96" s="18">
        <f>('BFI Scores'!M96-'BFI Scores'!C96)^2</f>
        <v>4.2975308641981175E-3</v>
      </c>
      <c r="I96" s="18">
        <f>('BFI Scores'!N96-'BFI Scores'!D96)^2</f>
        <v>3.361111111111136</v>
      </c>
      <c r="J96" s="18">
        <f>('BFI Scores'!O96-'BFI Scores'!E96)^2</f>
        <v>4.78515625</v>
      </c>
      <c r="K96" s="18">
        <f>('BFI Scores'!P96-'BFI Scores'!F96)^2</f>
        <v>4.000000000000007E-2</v>
      </c>
      <c r="L96" s="18">
        <f>('BFI Scores'!Q96-'BFI Scores'!B96)^2</f>
        <v>0.3600000000000001</v>
      </c>
      <c r="M96" s="18">
        <f>('BFI Scores'!R96-'BFI Scores'!C96)^2</f>
        <v>5.3927160493826079E-2</v>
      </c>
      <c r="N96" s="18">
        <f>('BFI Scores'!S96-'BFI Scores'!D96)^2</f>
        <v>3.4844444444444562</v>
      </c>
      <c r="O96" s="18">
        <f>('BFI Scores'!T96-'BFI Scores'!E96)^2</f>
        <v>4.4626562499999993</v>
      </c>
      <c r="P96" s="18">
        <f>('BFI Scores'!U96-'BFI Scores'!F96)^2</f>
        <v>5.7600000000000103E-2</v>
      </c>
      <c r="Q96" s="18">
        <f>('BFI Scores'!V96-'BFI Scores'!B96)^2</f>
        <v>1.2099999999999993</v>
      </c>
      <c r="R96" s="18">
        <f>('BFI Scores'!W96-'BFI Scores'!C96)^2</f>
        <v>2.7408641975310007E-2</v>
      </c>
      <c r="S96" s="18">
        <f>('BFI Scores'!X96-'BFI Scores'!D96)^2</f>
        <v>3.5260493827160575</v>
      </c>
      <c r="T96" s="18">
        <f>('BFI Scores'!Y96-'BFI Scores'!E96)^2</f>
        <v>4.78515625</v>
      </c>
      <c r="U96" s="18">
        <f>('BFI Scores'!Z96-'BFI Scores'!F96)^2</f>
        <v>9.6100000000000033E-2</v>
      </c>
      <c r="V96" s="18">
        <f>('BFI Scores'!AA96-'BFI Scores'!B96)^2</f>
        <v>0.3751562499999998</v>
      </c>
      <c r="W96" s="18">
        <f>('BFI Scores'!AB96-'BFI Scores'!C96)^2</f>
        <v>0.14187777777777297</v>
      </c>
      <c r="X96" s="18">
        <f>('BFI Scores'!AC96-'BFI Scores'!D96)^2</f>
        <v>2.7777777777777892</v>
      </c>
      <c r="Y96" s="18">
        <f>('BFI Scores'!AD96-'BFI Scores'!E96)^2</f>
        <v>4.3056250000000009</v>
      </c>
      <c r="Z96" s="18">
        <f>('BFI Scores'!AE96-'BFI Scores'!F96)^2</f>
        <v>0.50409999999999999</v>
      </c>
      <c r="AA96" s="20">
        <f t="shared" si="10"/>
        <v>1.6632020061728432</v>
      </c>
      <c r="AB96" s="20">
        <f t="shared" si="11"/>
        <v>1.7013942283950669</v>
      </c>
      <c r="AC96" s="20">
        <f t="shared" si="12"/>
        <v>1.6837255709876566</v>
      </c>
      <c r="AD96" s="20">
        <f t="shared" si="13"/>
        <v>1.9289428549382734</v>
      </c>
      <c r="AE96" s="20">
        <f t="shared" si="14"/>
        <v>1.6209073611111127</v>
      </c>
    </row>
    <row r="97" spans="1:31" x14ac:dyDescent="0.2">
      <c r="A97" s="17">
        <v>96154</v>
      </c>
      <c r="B97" s="18">
        <f>('BFI Scores'!G97-'BFI Scores'!B97)^2</f>
        <v>0.47265625</v>
      </c>
      <c r="C97" s="18">
        <f>('BFI Scores'!H97-'BFI Scores'!C97)^2</f>
        <v>1.7777777777776942E-2</v>
      </c>
      <c r="D97" s="18">
        <f>('BFI Scores'!I97-'BFI Scores'!D97)^2</f>
        <v>3.1921777777777889</v>
      </c>
      <c r="E97" s="18">
        <f>('BFI Scores'!J97-'BFI Scores'!E97)^2</f>
        <v>7.9806250000000106E-2</v>
      </c>
      <c r="F97" s="18">
        <f>('BFI Scores'!K97-'BFI Scores'!F97)^2</f>
        <v>0.50409999999999999</v>
      </c>
      <c r="G97" s="18">
        <f>('BFI Scores'!L97-'BFI Scores'!B97)^2</f>
        <v>0.42249999999999988</v>
      </c>
      <c r="H97" s="18">
        <f>('BFI Scores'!M97-'BFI Scores'!C97)^2</f>
        <v>9.9999999999999291E-3</v>
      </c>
      <c r="I97" s="18">
        <f>('BFI Scores'!N97-'BFI Scores'!D97)^2</f>
        <v>1.3301777777777695</v>
      </c>
      <c r="J97" s="18">
        <f>('BFI Scores'!O97-'BFI Scores'!E97)^2</f>
        <v>0.22090000000000018</v>
      </c>
      <c r="K97" s="18">
        <f>('BFI Scores'!P97-'BFI Scores'!F97)^2</f>
        <v>0.40960000000000019</v>
      </c>
      <c r="L97" s="18">
        <f>('BFI Scores'!Q97-'BFI Scores'!B97)^2</f>
        <v>0.390625</v>
      </c>
      <c r="M97" s="18">
        <f>('BFI Scores'!R97-'BFI Scores'!C97)^2</f>
        <v>0.13444444444443959</v>
      </c>
      <c r="N97" s="18">
        <f>('BFI Scores'!S97-'BFI Scores'!D97)^2</f>
        <v>1.3819308641975412</v>
      </c>
      <c r="O97" s="18">
        <f>('BFI Scores'!T97-'BFI Scores'!E97)^2</f>
        <v>0.2450250000000001</v>
      </c>
      <c r="P97" s="18">
        <f>('BFI Scores'!U97-'BFI Scores'!F97)^2</f>
        <v>0.81000000000000061</v>
      </c>
      <c r="Q97" s="18">
        <f>('BFI Scores'!V97-'BFI Scores'!B97)^2</f>
        <v>0.11390624999999995</v>
      </c>
      <c r="R97" s="18">
        <f>('BFI Scores'!W97-'BFI Scores'!C97)^2</f>
        <v>9.9999999999999291E-3</v>
      </c>
      <c r="S97" s="18">
        <f>('BFI Scores'!X97-'BFI Scores'!D97)^2</f>
        <v>4.1706716049382626</v>
      </c>
      <c r="T97" s="18">
        <f>('BFI Scores'!Y97-'BFI Scores'!E97)^2</f>
        <v>0.10240000000000005</v>
      </c>
      <c r="U97" s="18">
        <f>('BFI Scores'!Z97-'BFI Scores'!F97)^2</f>
        <v>0.50409999999999999</v>
      </c>
      <c r="V97" s="18">
        <f>('BFI Scores'!AA97-'BFI Scores'!B97)^2</f>
        <v>0.18062499999999984</v>
      </c>
      <c r="W97" s="18">
        <f>('BFI Scores'!AB97-'BFI Scores'!C97)^2</f>
        <v>0.11111111111110913</v>
      </c>
      <c r="X97" s="18">
        <f>('BFI Scores'!AC97-'BFI Scores'!D97)^2</f>
        <v>1.2296345679012368</v>
      </c>
      <c r="Y97" s="18">
        <f>('BFI Scores'!AD97-'BFI Scores'!E97)^2</f>
        <v>0.2450250000000001</v>
      </c>
      <c r="Z97" s="18">
        <f>('BFI Scores'!AE97-'BFI Scores'!F97)^2</f>
        <v>4.0000000000000072E-4</v>
      </c>
      <c r="AA97" s="20">
        <f t="shared" si="10"/>
        <v>0.85330361111111319</v>
      </c>
      <c r="AB97" s="20">
        <f t="shared" si="11"/>
        <v>0.47863555555555398</v>
      </c>
      <c r="AC97" s="20">
        <f t="shared" si="12"/>
        <v>0.59240506172839624</v>
      </c>
      <c r="AD97" s="20">
        <f t="shared" si="13"/>
        <v>0.98021557098765266</v>
      </c>
      <c r="AE97" s="20">
        <f t="shared" si="14"/>
        <v>0.35335913580246914</v>
      </c>
    </row>
    <row r="98" spans="1:31" x14ac:dyDescent="0.2">
      <c r="A98" s="17">
        <v>96853</v>
      </c>
      <c r="B98" s="18">
        <f>('BFI Scores'!G98-'BFI Scores'!B98)^2</f>
        <v>1.5500250000000002</v>
      </c>
      <c r="C98" s="18">
        <f>('BFI Scores'!H98-'BFI Scores'!C98)^2</f>
        <v>8.7111111111103524E-3</v>
      </c>
      <c r="D98" s="18">
        <f>('BFI Scores'!I98-'BFI Scores'!D98)^2</f>
        <v>6.1393827160494976E-2</v>
      </c>
      <c r="E98" s="18">
        <f>('BFI Scores'!J98-'BFI Scores'!E98)^2</f>
        <v>1.3630562499999999</v>
      </c>
      <c r="F98" s="18">
        <f>('BFI Scores'!K98-'BFI Scores'!F98)^2</f>
        <v>0.9025000000000003</v>
      </c>
      <c r="G98" s="18">
        <f>('BFI Scores'!L98-'BFI Scores'!B98)^2</f>
        <v>1.8769000000000002</v>
      </c>
      <c r="H98" s="18">
        <f>('BFI Scores'!M98-'BFI Scores'!C98)^2</f>
        <v>1.6000000000000029E-3</v>
      </c>
      <c r="I98" s="18">
        <f>('BFI Scores'!N98-'BFI Scores'!D98)^2</f>
        <v>0.27620864197531286</v>
      </c>
      <c r="J98" s="18">
        <f>('BFI Scores'!O98-'BFI Scores'!E98)^2</f>
        <v>1.0100249999999997</v>
      </c>
      <c r="K98" s="18">
        <f>('BFI Scores'!P98-'BFI Scores'!F98)^2</f>
        <v>0.33639999999999959</v>
      </c>
      <c r="L98" s="18">
        <f>('BFI Scores'!Q98-'BFI Scores'!B98)^2</f>
        <v>2.5840562499999997</v>
      </c>
      <c r="M98" s="18">
        <f>('BFI Scores'!R98-'BFI Scores'!C98)^2</f>
        <v>7.1111111111071758E-4</v>
      </c>
      <c r="N98" s="18">
        <f>('BFI Scores'!S98-'BFI Scores'!D98)^2</f>
        <v>1.5764197530862882E-2</v>
      </c>
      <c r="O98" s="18">
        <f>('BFI Scores'!T98-'BFI Scores'!E98)^2</f>
        <v>1.0100249999999997</v>
      </c>
      <c r="P98" s="18">
        <f>('BFI Scores'!U98-'BFI Scores'!F98)^2</f>
        <v>0.23039999999999999</v>
      </c>
      <c r="Q98" s="18">
        <f>('BFI Scores'!V98-'BFI Scores'!B98)^2</f>
        <v>4.5475562500000013</v>
      </c>
      <c r="R98" s="18">
        <f>('BFI Scores'!W98-'BFI Scores'!C98)^2</f>
        <v>3.5999999999999531E-3</v>
      </c>
      <c r="S98" s="18">
        <f>('BFI Scores'!X98-'BFI Scores'!D98)^2</f>
        <v>9.8875308641978854E-2</v>
      </c>
      <c r="T98" s="18">
        <f>('BFI Scores'!Y98-'BFI Scores'!E98)^2</f>
        <v>1.2488062499999999</v>
      </c>
      <c r="U98" s="18">
        <f>('BFI Scores'!Z98-'BFI Scores'!F98)^2</f>
        <v>0.57759999999999967</v>
      </c>
      <c r="V98" s="18">
        <f>('BFI Scores'!AA98-'BFI Scores'!B98)^2</f>
        <v>2.9584000000000006</v>
      </c>
      <c r="W98" s="18">
        <f>('BFI Scores'!AB98-'BFI Scores'!C98)^2</f>
        <v>0.25671111111111489</v>
      </c>
      <c r="X98" s="18">
        <f>('BFI Scores'!AC98-'BFI Scores'!D98)^2</f>
        <v>0.44889999999999991</v>
      </c>
      <c r="Y98" s="18">
        <f>('BFI Scores'!AD98-'BFI Scores'!E98)^2</f>
        <v>1.1556249999999985E-2</v>
      </c>
      <c r="Z98" s="18">
        <f>('BFI Scores'!AE98-'BFI Scores'!F98)^2</f>
        <v>0.40959999999999958</v>
      </c>
      <c r="AA98" s="20">
        <f t="shared" si="10"/>
        <v>0.77713723765432108</v>
      </c>
      <c r="AB98" s="20">
        <f t="shared" si="11"/>
        <v>0.7002267283950625</v>
      </c>
      <c r="AC98" s="20">
        <f t="shared" si="12"/>
        <v>0.76819131172839461</v>
      </c>
      <c r="AD98" s="20">
        <f t="shared" si="13"/>
        <v>1.2952875617283959</v>
      </c>
      <c r="AE98" s="20">
        <f t="shared" si="14"/>
        <v>0.81703347222222289</v>
      </c>
    </row>
    <row r="99" spans="1:31" x14ac:dyDescent="0.2">
      <c r="A99" s="17">
        <v>97913</v>
      </c>
      <c r="B99" s="18">
        <f>('BFI Scores'!G99-'BFI Scores'!B99)^2</f>
        <v>0.39689999999999986</v>
      </c>
      <c r="C99" s="18">
        <f>('BFI Scores'!H99-'BFI Scores'!C99)^2</f>
        <v>0.1264197530864157</v>
      </c>
      <c r="D99" s="18">
        <f>('BFI Scores'!I99-'BFI Scores'!D99)^2</f>
        <v>0.11259753086419369</v>
      </c>
      <c r="E99" s="18">
        <f>('BFI Scores'!J99-'BFI Scores'!E99)^2</f>
        <v>2.1535562499999994</v>
      </c>
      <c r="F99" s="18">
        <f>('BFI Scores'!K99-'BFI Scores'!F99)^2</f>
        <v>0.3248999999999998</v>
      </c>
      <c r="G99" s="18">
        <f>('BFI Scores'!L99-'BFI Scores'!B99)^2</f>
        <v>0.53289999999999993</v>
      </c>
      <c r="H99" s="18">
        <f>('BFI Scores'!M99-'BFI Scores'!C99)^2</f>
        <v>7.7160493827161669E-2</v>
      </c>
      <c r="I99" s="18">
        <f>('BFI Scores'!N99-'BFI Scores'!D99)^2</f>
        <v>0.89617777777778385</v>
      </c>
      <c r="J99" s="18">
        <f>('BFI Scores'!O99-'BFI Scores'!E99)^2</f>
        <v>2.3028062499999997</v>
      </c>
      <c r="K99" s="18">
        <f>('BFI Scores'!P99-'BFI Scores'!F99)^2</f>
        <v>0.3600000000000001</v>
      </c>
      <c r="L99" s="18">
        <f>('BFI Scores'!Q99-'BFI Scores'!B99)^2</f>
        <v>0.60839999999999972</v>
      </c>
      <c r="M99" s="18">
        <f>('BFI Scores'!R99-'BFI Scores'!C99)^2</f>
        <v>6.0493827160497541E-3</v>
      </c>
      <c r="N99" s="18">
        <f>('BFI Scores'!S99-'BFI Scores'!D99)^2</f>
        <v>1.9351901234567861</v>
      </c>
      <c r="O99" s="18">
        <f>('BFI Scores'!T99-'BFI Scores'!E99)^2</f>
        <v>1.2768999999999997</v>
      </c>
      <c r="P99" s="18">
        <f>('BFI Scores'!U99-'BFI Scores'!F99)^2</f>
        <v>0.96039999999999992</v>
      </c>
      <c r="Q99" s="18">
        <f>('BFI Scores'!V99-'BFI Scores'!B99)^2</f>
        <v>5.8806249999999866E-2</v>
      </c>
      <c r="R99" s="18">
        <f>('BFI Scores'!W99-'BFI Scores'!C99)^2</f>
        <v>0.16901234567901152</v>
      </c>
      <c r="S99" s="18">
        <f>('BFI Scores'!X99-'BFI Scores'!D99)^2</f>
        <v>0.49311604938271242</v>
      </c>
      <c r="T99" s="18">
        <f>('BFI Scores'!Y99-'BFI Scores'!E99)^2</f>
        <v>1.5128999999999999</v>
      </c>
      <c r="U99" s="18">
        <f>('BFI Scores'!Z99-'BFI Scores'!F99)^2</f>
        <v>0.39689999999999986</v>
      </c>
      <c r="V99" s="18">
        <f>('BFI Scores'!AA99-'BFI Scores'!B99)^2</f>
        <v>0.9409000000000004</v>
      </c>
      <c r="W99" s="18">
        <f>('BFI Scores'!AB99-'BFI Scores'!C99)^2</f>
        <v>0.57086419753087092</v>
      </c>
      <c r="X99" s="18">
        <f>('BFI Scores'!AC99-'BFI Scores'!D99)^2</f>
        <v>1.239511111111103</v>
      </c>
      <c r="Y99" s="18">
        <f>('BFI Scores'!AD99-'BFI Scores'!E99)^2</f>
        <v>1.3630562499999999</v>
      </c>
      <c r="Z99" s="18">
        <f>('BFI Scores'!AE99-'BFI Scores'!F99)^2</f>
        <v>6.4000000000000116E-3</v>
      </c>
      <c r="AA99" s="20">
        <f t="shared" si="10"/>
        <v>0.62287470679012169</v>
      </c>
      <c r="AB99" s="20">
        <f t="shared" si="11"/>
        <v>0.83380890432098909</v>
      </c>
      <c r="AC99" s="20">
        <f t="shared" si="12"/>
        <v>0.95738790123456707</v>
      </c>
      <c r="AD99" s="20">
        <f t="shared" si="13"/>
        <v>0.52614692901234483</v>
      </c>
      <c r="AE99" s="20">
        <f t="shared" si="14"/>
        <v>0.82414631172839492</v>
      </c>
    </row>
    <row r="100" spans="1:31" x14ac:dyDescent="0.2">
      <c r="A100" s="17">
        <v>99709</v>
      </c>
      <c r="B100" s="18">
        <f>('BFI Scores'!G100-'BFI Scores'!B100)^2</f>
        <v>0.50055625000000004</v>
      </c>
      <c r="C100" s="18">
        <f>('BFI Scores'!H100-'BFI Scores'!C100)^2</f>
        <v>0.1272111111111135</v>
      </c>
      <c r="D100" s="18">
        <f>('BFI Scores'!I100-'BFI Scores'!D100)^2</f>
        <v>0.83012345679012078</v>
      </c>
      <c r="E100" s="18">
        <f>('BFI Scores'!J100-'BFI Scores'!E100)^2</f>
        <v>0.3751562499999998</v>
      </c>
      <c r="F100" s="18">
        <f>('BFI Scores'!K100-'BFI Scores'!F100)^2</f>
        <v>2.4999999999999823E-3</v>
      </c>
      <c r="G100" s="18">
        <f>('BFI Scores'!L100-'BFI Scores'!B100)^2</f>
        <v>0.3249000000000003</v>
      </c>
      <c r="H100" s="18">
        <f>('BFI Scores'!M100-'BFI Scores'!C100)^2</f>
        <v>4.0445679012345102E-2</v>
      </c>
      <c r="I100" s="18">
        <f>('BFI Scores'!N100-'BFI Scores'!D100)^2</f>
        <v>0.956049382716053</v>
      </c>
      <c r="J100" s="18">
        <f>('BFI Scores'!O100-'BFI Scores'!E100)^2</f>
        <v>0.40640625000000025</v>
      </c>
      <c r="K100" s="18">
        <f>('BFI Scores'!P100-'BFI Scores'!F100)^2</f>
        <v>3.6000000000000597E-3</v>
      </c>
      <c r="L100" s="18">
        <f>('BFI Scores'!Q100-'BFI Scores'!B100)^2</f>
        <v>0.46580625000000014</v>
      </c>
      <c r="M100" s="18">
        <f>('BFI Scores'!R100-'BFI Scores'!C100)^2</f>
        <v>6.5877777777779228E-2</v>
      </c>
      <c r="N100" s="18">
        <f>('BFI Scores'!S100-'BFI Scores'!D100)^2</f>
        <v>1.6612345679012377</v>
      </c>
      <c r="O100" s="18">
        <f>('BFI Scores'!T100-'BFI Scores'!E100)^2</f>
        <v>1.2100000000000002</v>
      </c>
      <c r="P100" s="18">
        <f>('BFI Scores'!U100-'BFI Scores'!F100)^2</f>
        <v>1.9600000000000159E-2</v>
      </c>
      <c r="Q100" s="18">
        <f>('BFI Scores'!V100-'BFI Scores'!B100)^2</f>
        <v>0.91680625000000093</v>
      </c>
      <c r="R100" s="18">
        <f>('BFI Scores'!W100-'BFI Scores'!C100)^2</f>
        <v>0.16089012345678913</v>
      </c>
      <c r="S100" s="18">
        <f>('BFI Scores'!X100-'BFI Scores'!D100)^2</f>
        <v>0.85049382716048938</v>
      </c>
      <c r="T100" s="18">
        <f>('BFI Scores'!Y100-'BFI Scores'!E100)^2</f>
        <v>0.2626562500000002</v>
      </c>
      <c r="U100" s="18">
        <f>('BFI Scores'!Z100-'BFI Scores'!F100)^2</f>
        <v>2.8899999999999974E-2</v>
      </c>
      <c r="V100" s="18">
        <f>('BFI Scores'!AA100-'BFI Scores'!B100)^2</f>
        <v>1.8062499999999984E-3</v>
      </c>
      <c r="W100" s="18">
        <f>('BFI Scores'!AB100-'BFI Scores'!C100)^2</f>
        <v>0.41674197530864726</v>
      </c>
      <c r="X100" s="18">
        <f>('BFI Scores'!AC100-'BFI Scores'!D100)^2</f>
        <v>0.79012345679012574</v>
      </c>
      <c r="Y100" s="18">
        <f>('BFI Scores'!AD100-'BFI Scores'!E100)^2</f>
        <v>0.78765625000000028</v>
      </c>
      <c r="Z100" s="18">
        <f>('BFI Scores'!AE100-'BFI Scores'!F100)^2</f>
        <v>1.2100000000000071E-2</v>
      </c>
      <c r="AA100" s="20">
        <f t="shared" si="10"/>
        <v>0.36710941358024679</v>
      </c>
      <c r="AB100" s="20">
        <f t="shared" si="11"/>
        <v>0.34628026234567971</v>
      </c>
      <c r="AC100" s="20">
        <f t="shared" si="12"/>
        <v>0.68450371913580343</v>
      </c>
      <c r="AD100" s="20">
        <f t="shared" si="13"/>
        <v>0.44394929012345596</v>
      </c>
      <c r="AE100" s="20">
        <f t="shared" si="14"/>
        <v>0.40168558641975471</v>
      </c>
    </row>
  </sheetData>
  <autoFilter ref="A1:AE10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Participants</vt:lpstr>
      <vt:lpstr>BFI Scores</vt:lpstr>
      <vt:lpstr>Correlations</vt:lpstr>
      <vt:lpstr>MSE by trait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Lametti</cp:lastModifiedBy>
  <dcterms:created xsi:type="dcterms:W3CDTF">2026-09-15T19:33:59Z</dcterms:created>
  <dcterms:modified xsi:type="dcterms:W3CDTF">2026-10-26T18:04:40Z</dcterms:modified>
</cp:coreProperties>
</file>