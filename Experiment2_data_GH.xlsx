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frodo/Sync/Research/BFI AI Work/BFI prediction study/"/>
    </mc:Choice>
  </mc:AlternateContent>
  <xr:revisionPtr revIDLastSave="0" documentId="13_ncr:1_{566660A4-4CF2-A04B-9F53-F2AEC37FE7DA}" xr6:coauthVersionLast="47" xr6:coauthVersionMax="47" xr10:uidLastSave="{00000000-0000-0000-0000-000000000000}"/>
  <bookViews>
    <workbookView xWindow="4140" yWindow="500" windowWidth="25120" windowHeight="21100" xr2:uid="{00000000-000D-0000-FFFF-FFFF00000000}"/>
  </bookViews>
  <sheets>
    <sheet name="Participants" sheetId="1" r:id="rId1"/>
    <sheet name="BFI Scores" sheetId="3" r:id="rId2"/>
    <sheet name="Correlations" sheetId="4" r:id="rId3"/>
    <sheet name="MSE by trait" sheetId="5" r:id="rId4"/>
  </sheets>
  <definedNames>
    <definedName name="_xlnm._FilterDatabase" localSheetId="1" hidden="1">'BFI Scores'!$A$1:$Z$96</definedName>
    <definedName name="_xlnm._FilterDatabase" localSheetId="3" hidden="1">'MSE by trait'!$A$1:$Y$96</definedName>
    <definedName name="_xlnm._FilterDatabase" localSheetId="0" hidden="1">Participants!$A$1:$L$102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6" i="5" l="1"/>
  <c r="AD96" i="5"/>
  <c r="AC96" i="5"/>
  <c r="AB96" i="5"/>
  <c r="AA96" i="5"/>
  <c r="AK96" i="5" s="1"/>
  <c r="Z96" i="5"/>
  <c r="Y96" i="5"/>
  <c r="X96" i="5"/>
  <c r="W96" i="5"/>
  <c r="V96" i="5"/>
  <c r="AJ96" i="5" s="1"/>
  <c r="U96" i="5"/>
  <c r="T96" i="5"/>
  <c r="S96" i="5"/>
  <c r="R96" i="5"/>
  <c r="Q96" i="5"/>
  <c r="AI96" i="5" s="1"/>
  <c r="P96" i="5"/>
  <c r="O96" i="5"/>
  <c r="N96" i="5"/>
  <c r="M96" i="5"/>
  <c r="L96" i="5"/>
  <c r="AH96" i="5" s="1"/>
  <c r="K96" i="5"/>
  <c r="J96" i="5"/>
  <c r="I96" i="5"/>
  <c r="H96" i="5"/>
  <c r="G96" i="5"/>
  <c r="AG96" i="5" s="1"/>
  <c r="F96" i="5"/>
  <c r="E96" i="5"/>
  <c r="D96" i="5"/>
  <c r="C96" i="5"/>
  <c r="B96" i="5"/>
  <c r="AF96" i="5" s="1"/>
  <c r="AE95" i="5"/>
  <c r="AD95" i="5"/>
  <c r="AC95" i="5"/>
  <c r="AB95" i="5"/>
  <c r="AA95" i="5"/>
  <c r="AK95" i="5" s="1"/>
  <c r="Z95" i="5"/>
  <c r="Y95" i="5"/>
  <c r="X95" i="5"/>
  <c r="W95" i="5"/>
  <c r="V95" i="5"/>
  <c r="U95" i="5"/>
  <c r="T95" i="5"/>
  <c r="S95" i="5"/>
  <c r="R95" i="5"/>
  <c r="Q95" i="5"/>
  <c r="AI95" i="5" s="1"/>
  <c r="P95" i="5"/>
  <c r="O95" i="5"/>
  <c r="N95" i="5"/>
  <c r="M95" i="5"/>
  <c r="L95" i="5"/>
  <c r="AH95" i="5" s="1"/>
  <c r="K95" i="5"/>
  <c r="J95" i="5"/>
  <c r="I95" i="5"/>
  <c r="AG95" i="5" s="1"/>
  <c r="H95" i="5"/>
  <c r="G95" i="5"/>
  <c r="F95" i="5"/>
  <c r="E95" i="5"/>
  <c r="D95" i="5"/>
  <c r="C95" i="5"/>
  <c r="AF95" i="5" s="1"/>
  <c r="B95" i="5"/>
  <c r="AK94" i="5"/>
  <c r="AE94" i="5"/>
  <c r="AD94" i="5"/>
  <c r="AC94" i="5"/>
  <c r="AB94" i="5"/>
  <c r="AA94" i="5"/>
  <c r="Z94" i="5"/>
  <c r="Y94" i="5"/>
  <c r="X94" i="5"/>
  <c r="W94" i="5"/>
  <c r="AJ94" i="5" s="1"/>
  <c r="V94" i="5"/>
  <c r="U94" i="5"/>
  <c r="T94" i="5"/>
  <c r="S94" i="5"/>
  <c r="R94" i="5"/>
  <c r="AI94" i="5" s="1"/>
  <c r="Q94" i="5"/>
  <c r="P94" i="5"/>
  <c r="O94" i="5"/>
  <c r="N94" i="5"/>
  <c r="M94" i="5"/>
  <c r="AH94" i="5" s="1"/>
  <c r="L94" i="5"/>
  <c r="K94" i="5"/>
  <c r="J94" i="5"/>
  <c r="I94" i="5"/>
  <c r="H94" i="5"/>
  <c r="G94" i="5"/>
  <c r="AG94" i="5" s="1"/>
  <c r="F94" i="5"/>
  <c r="E94" i="5"/>
  <c r="D94" i="5"/>
  <c r="C94" i="5"/>
  <c r="B94" i="5"/>
  <c r="AF94" i="5" s="1"/>
  <c r="AG93" i="5"/>
  <c r="AE93" i="5"/>
  <c r="AD93" i="5"/>
  <c r="AC93" i="5"/>
  <c r="AB93" i="5"/>
  <c r="AA93" i="5"/>
  <c r="AK93" i="5" s="1"/>
  <c r="Z93" i="5"/>
  <c r="Y93" i="5"/>
  <c r="X93" i="5"/>
  <c r="W93" i="5"/>
  <c r="V93" i="5"/>
  <c r="AJ93" i="5" s="1"/>
  <c r="U93" i="5"/>
  <c r="T93" i="5"/>
  <c r="S93" i="5"/>
  <c r="R93" i="5"/>
  <c r="Q93" i="5"/>
  <c r="AI93" i="5" s="1"/>
  <c r="P93" i="5"/>
  <c r="O93" i="5"/>
  <c r="N93" i="5"/>
  <c r="AH93" i="5" s="1"/>
  <c r="M93" i="5"/>
  <c r="L93" i="5"/>
  <c r="K93" i="5"/>
  <c r="J93" i="5"/>
  <c r="I93" i="5"/>
  <c r="H93" i="5"/>
  <c r="G93" i="5"/>
  <c r="F93" i="5"/>
  <c r="E93" i="5"/>
  <c r="D93" i="5"/>
  <c r="C93" i="5"/>
  <c r="AF93" i="5" s="1"/>
  <c r="B93" i="5"/>
  <c r="AE92" i="5"/>
  <c r="AD92" i="5"/>
  <c r="AC92" i="5"/>
  <c r="AK92" i="5" s="1"/>
  <c r="AB92" i="5"/>
  <c r="AA92" i="5"/>
  <c r="Z92" i="5"/>
  <c r="Y92" i="5"/>
  <c r="X92" i="5"/>
  <c r="W92" i="5"/>
  <c r="AJ92" i="5" s="1"/>
  <c r="V92" i="5"/>
  <c r="U92" i="5"/>
  <c r="T92" i="5"/>
  <c r="S92" i="5"/>
  <c r="R92" i="5"/>
  <c r="Q92" i="5"/>
  <c r="P92" i="5"/>
  <c r="O92" i="5"/>
  <c r="N92" i="5"/>
  <c r="M92" i="5"/>
  <c r="AH92" i="5" s="1"/>
  <c r="L92" i="5"/>
  <c r="K92" i="5"/>
  <c r="J92" i="5"/>
  <c r="I92" i="5"/>
  <c r="H92" i="5"/>
  <c r="G92" i="5"/>
  <c r="AG92" i="5" s="1"/>
  <c r="F92" i="5"/>
  <c r="E92" i="5"/>
  <c r="D92" i="5"/>
  <c r="C92" i="5"/>
  <c r="B92" i="5"/>
  <c r="AG91" i="5"/>
  <c r="AE91" i="5"/>
  <c r="AD91" i="5"/>
  <c r="AC91" i="5"/>
  <c r="AB91" i="5"/>
  <c r="AA91" i="5"/>
  <c r="AK91" i="5" s="1"/>
  <c r="Z91" i="5"/>
  <c r="Y91" i="5"/>
  <c r="X91" i="5"/>
  <c r="W91" i="5"/>
  <c r="V91" i="5"/>
  <c r="AJ91" i="5" s="1"/>
  <c r="U91" i="5"/>
  <c r="T91" i="5"/>
  <c r="S91" i="5"/>
  <c r="R91" i="5"/>
  <c r="Q91" i="5"/>
  <c r="AI91" i="5" s="1"/>
  <c r="P91" i="5"/>
  <c r="O91" i="5"/>
  <c r="N91" i="5"/>
  <c r="AH91" i="5" s="1"/>
  <c r="M91" i="5"/>
  <c r="L91" i="5"/>
  <c r="K91" i="5"/>
  <c r="J91" i="5"/>
  <c r="I91" i="5"/>
  <c r="H91" i="5"/>
  <c r="G91" i="5"/>
  <c r="F91" i="5"/>
  <c r="E91" i="5"/>
  <c r="D91" i="5"/>
  <c r="C91" i="5"/>
  <c r="AF91" i="5" s="1"/>
  <c r="B91" i="5"/>
  <c r="AE90" i="5"/>
  <c r="AD90" i="5"/>
  <c r="AC90" i="5"/>
  <c r="AK90" i="5" s="1"/>
  <c r="AB90" i="5"/>
  <c r="AA90" i="5"/>
  <c r="Z90" i="5"/>
  <c r="Y90" i="5"/>
  <c r="X90" i="5"/>
  <c r="W90" i="5"/>
  <c r="AJ90" i="5" s="1"/>
  <c r="V90" i="5"/>
  <c r="U90" i="5"/>
  <c r="T90" i="5"/>
  <c r="S90" i="5"/>
  <c r="R90" i="5"/>
  <c r="AI90" i="5" s="1"/>
  <c r="Q90" i="5"/>
  <c r="P90" i="5"/>
  <c r="O90" i="5"/>
  <c r="N90" i="5"/>
  <c r="M90" i="5"/>
  <c r="AH90" i="5" s="1"/>
  <c r="L90" i="5"/>
  <c r="K90" i="5"/>
  <c r="J90" i="5"/>
  <c r="I90" i="5"/>
  <c r="H90" i="5"/>
  <c r="G90" i="5"/>
  <c r="AG90" i="5" s="1"/>
  <c r="F90" i="5"/>
  <c r="E90" i="5"/>
  <c r="D90" i="5"/>
  <c r="C90" i="5"/>
  <c r="B90" i="5"/>
  <c r="AF90" i="5" s="1"/>
  <c r="AE89" i="5"/>
  <c r="AD89" i="5"/>
  <c r="AC89" i="5"/>
  <c r="AB89" i="5"/>
  <c r="AA89" i="5"/>
  <c r="AK89" i="5" s="1"/>
  <c r="Z89" i="5"/>
  <c r="Y89" i="5"/>
  <c r="X89" i="5"/>
  <c r="W89" i="5"/>
  <c r="V89" i="5"/>
  <c r="U89" i="5"/>
  <c r="T89" i="5"/>
  <c r="S89" i="5"/>
  <c r="R89" i="5"/>
  <c r="Q89" i="5"/>
  <c r="AI89" i="5" s="1"/>
  <c r="P89" i="5"/>
  <c r="O89" i="5"/>
  <c r="N89" i="5"/>
  <c r="AH89" i="5" s="1"/>
  <c r="M89" i="5"/>
  <c r="L89" i="5"/>
  <c r="K89" i="5"/>
  <c r="J89" i="5"/>
  <c r="I89" i="5"/>
  <c r="AG89" i="5" s="1"/>
  <c r="H89" i="5"/>
  <c r="G89" i="5"/>
  <c r="F89" i="5"/>
  <c r="E89" i="5"/>
  <c r="D89" i="5"/>
  <c r="C89" i="5"/>
  <c r="AF89" i="5" s="1"/>
  <c r="B89" i="5"/>
  <c r="AK88" i="5"/>
  <c r="AE88" i="5"/>
  <c r="AD88" i="5"/>
  <c r="AC88" i="5"/>
  <c r="AB88" i="5"/>
  <c r="AA88" i="5"/>
  <c r="Z88" i="5"/>
  <c r="Y88" i="5"/>
  <c r="X88" i="5"/>
  <c r="W88" i="5"/>
  <c r="AJ88" i="5" s="1"/>
  <c r="V88" i="5"/>
  <c r="U88" i="5"/>
  <c r="T88" i="5"/>
  <c r="S88" i="5"/>
  <c r="R88" i="5"/>
  <c r="AI88" i="5" s="1"/>
  <c r="Q88" i="5"/>
  <c r="P88" i="5"/>
  <c r="O88" i="5"/>
  <c r="N88" i="5"/>
  <c r="M88" i="5"/>
  <c r="AH88" i="5" s="1"/>
  <c r="L88" i="5"/>
  <c r="K88" i="5"/>
  <c r="J88" i="5"/>
  <c r="I88" i="5"/>
  <c r="H88" i="5"/>
  <c r="G88" i="5"/>
  <c r="AG88" i="5" s="1"/>
  <c r="F88" i="5"/>
  <c r="E88" i="5"/>
  <c r="D88" i="5"/>
  <c r="C88" i="5"/>
  <c r="B88" i="5"/>
  <c r="AF88" i="5" s="1"/>
  <c r="AE87" i="5"/>
  <c r="AD87" i="5"/>
  <c r="AC87" i="5"/>
  <c r="AB87" i="5"/>
  <c r="AA87" i="5"/>
  <c r="AK87" i="5" s="1"/>
  <c r="Z87" i="5"/>
  <c r="Y87" i="5"/>
  <c r="X87" i="5"/>
  <c r="W87" i="5"/>
  <c r="V87" i="5"/>
  <c r="U87" i="5"/>
  <c r="T87" i="5"/>
  <c r="S87" i="5"/>
  <c r="R87" i="5"/>
  <c r="Q87" i="5"/>
  <c r="AI87" i="5" s="1"/>
  <c r="P87" i="5"/>
  <c r="O87" i="5"/>
  <c r="N87" i="5"/>
  <c r="AH87" i="5" s="1"/>
  <c r="M87" i="5"/>
  <c r="L87" i="5"/>
  <c r="K87" i="5"/>
  <c r="J87" i="5"/>
  <c r="I87" i="5"/>
  <c r="AG87" i="5" s="1"/>
  <c r="H87" i="5"/>
  <c r="G87" i="5"/>
  <c r="F87" i="5"/>
  <c r="E87" i="5"/>
  <c r="D87" i="5"/>
  <c r="C87" i="5"/>
  <c r="AF87" i="5" s="1"/>
  <c r="B87" i="5"/>
  <c r="AK86" i="5"/>
  <c r="AE86" i="5"/>
  <c r="AD86" i="5"/>
  <c r="AC86" i="5"/>
  <c r="AB86" i="5"/>
  <c r="AA86" i="5"/>
  <c r="Z86" i="5"/>
  <c r="Y86" i="5"/>
  <c r="X86" i="5"/>
  <c r="W86" i="5"/>
  <c r="AJ86" i="5" s="1"/>
  <c r="V86" i="5"/>
  <c r="U86" i="5"/>
  <c r="T86" i="5"/>
  <c r="S86" i="5"/>
  <c r="R86" i="5"/>
  <c r="AI86" i="5" s="1"/>
  <c r="Q86" i="5"/>
  <c r="P86" i="5"/>
  <c r="O86" i="5"/>
  <c r="N86" i="5"/>
  <c r="M86" i="5"/>
  <c r="AH86" i="5" s="1"/>
  <c r="L86" i="5"/>
  <c r="K86" i="5"/>
  <c r="J86" i="5"/>
  <c r="I86" i="5"/>
  <c r="H86" i="5"/>
  <c r="G86" i="5"/>
  <c r="AG86" i="5" s="1"/>
  <c r="F86" i="5"/>
  <c r="E86" i="5"/>
  <c r="D86" i="5"/>
  <c r="C86" i="5"/>
  <c r="B86" i="5"/>
  <c r="AF86" i="5" s="1"/>
  <c r="AG85" i="5"/>
  <c r="AE85" i="5"/>
  <c r="AD85" i="5"/>
  <c r="AC85" i="5"/>
  <c r="AB85" i="5"/>
  <c r="AA85" i="5"/>
  <c r="AK85" i="5" s="1"/>
  <c r="Z85" i="5"/>
  <c r="Y85" i="5"/>
  <c r="X85" i="5"/>
  <c r="W85" i="5"/>
  <c r="V85" i="5"/>
  <c r="AJ85" i="5" s="1"/>
  <c r="U85" i="5"/>
  <c r="T85" i="5"/>
  <c r="S85" i="5"/>
  <c r="R85" i="5"/>
  <c r="Q85" i="5"/>
  <c r="AI85" i="5" s="1"/>
  <c r="P85" i="5"/>
  <c r="O85" i="5"/>
  <c r="N85" i="5"/>
  <c r="AH85" i="5" s="1"/>
  <c r="M85" i="5"/>
  <c r="L85" i="5"/>
  <c r="K85" i="5"/>
  <c r="J85" i="5"/>
  <c r="I85" i="5"/>
  <c r="H85" i="5"/>
  <c r="G85" i="5"/>
  <c r="F85" i="5"/>
  <c r="E85" i="5"/>
  <c r="D85" i="5"/>
  <c r="C85" i="5"/>
  <c r="AF85" i="5" s="1"/>
  <c r="B85" i="5"/>
  <c r="AE84" i="5"/>
  <c r="AD84" i="5"/>
  <c r="AC84" i="5"/>
  <c r="AK84" i="5" s="1"/>
  <c r="AB84" i="5"/>
  <c r="AA84" i="5"/>
  <c r="Z84" i="5"/>
  <c r="Y84" i="5"/>
  <c r="X84" i="5"/>
  <c r="W84" i="5"/>
  <c r="AJ84" i="5" s="1"/>
  <c r="V84" i="5"/>
  <c r="U84" i="5"/>
  <c r="T84" i="5"/>
  <c r="S84" i="5"/>
  <c r="R84" i="5"/>
  <c r="Q84" i="5"/>
  <c r="P84" i="5"/>
  <c r="O84" i="5"/>
  <c r="N84" i="5"/>
  <c r="M84" i="5"/>
  <c r="AH84" i="5" s="1"/>
  <c r="L84" i="5"/>
  <c r="K84" i="5"/>
  <c r="J84" i="5"/>
  <c r="I84" i="5"/>
  <c r="H84" i="5"/>
  <c r="G84" i="5"/>
  <c r="AG84" i="5" s="1"/>
  <c r="F84" i="5"/>
  <c r="E84" i="5"/>
  <c r="D84" i="5"/>
  <c r="C84" i="5"/>
  <c r="B84" i="5"/>
  <c r="AG83" i="5"/>
  <c r="AE83" i="5"/>
  <c r="AD83" i="5"/>
  <c r="AC83" i="5"/>
  <c r="AB83" i="5"/>
  <c r="AA83" i="5"/>
  <c r="AK83" i="5" s="1"/>
  <c r="Z83" i="5"/>
  <c r="Y83" i="5"/>
  <c r="X83" i="5"/>
  <c r="W83" i="5"/>
  <c r="V83" i="5"/>
  <c r="AJ83" i="5" s="1"/>
  <c r="U83" i="5"/>
  <c r="T83" i="5"/>
  <c r="S83" i="5"/>
  <c r="R83" i="5"/>
  <c r="Q83" i="5"/>
  <c r="AI83" i="5" s="1"/>
  <c r="P83" i="5"/>
  <c r="O83" i="5"/>
  <c r="N83" i="5"/>
  <c r="AH83" i="5" s="1"/>
  <c r="M83" i="5"/>
  <c r="L83" i="5"/>
  <c r="K83" i="5"/>
  <c r="J83" i="5"/>
  <c r="I83" i="5"/>
  <c r="H83" i="5"/>
  <c r="G83" i="5"/>
  <c r="F83" i="5"/>
  <c r="E83" i="5"/>
  <c r="D83" i="5"/>
  <c r="C83" i="5"/>
  <c r="AF83" i="5" s="1"/>
  <c r="B83" i="5"/>
  <c r="AE82" i="5"/>
  <c r="AD82" i="5"/>
  <c r="AC82" i="5"/>
  <c r="AK82" i="5" s="1"/>
  <c r="AB82" i="5"/>
  <c r="AA82" i="5"/>
  <c r="Z82" i="5"/>
  <c r="Y82" i="5"/>
  <c r="X82" i="5"/>
  <c r="W82" i="5"/>
  <c r="AJ82" i="5" s="1"/>
  <c r="V82" i="5"/>
  <c r="U82" i="5"/>
  <c r="T82" i="5"/>
  <c r="S82" i="5"/>
  <c r="R82" i="5"/>
  <c r="AI82" i="5" s="1"/>
  <c r="Q82" i="5"/>
  <c r="P82" i="5"/>
  <c r="O82" i="5"/>
  <c r="N82" i="5"/>
  <c r="M82" i="5"/>
  <c r="AH82" i="5" s="1"/>
  <c r="L82" i="5"/>
  <c r="K82" i="5"/>
  <c r="J82" i="5"/>
  <c r="I82" i="5"/>
  <c r="H82" i="5"/>
  <c r="G82" i="5"/>
  <c r="AG82" i="5" s="1"/>
  <c r="F82" i="5"/>
  <c r="E82" i="5"/>
  <c r="D82" i="5"/>
  <c r="C82" i="5"/>
  <c r="B82" i="5"/>
  <c r="AF82" i="5" s="1"/>
  <c r="AE81" i="5"/>
  <c r="AD81" i="5"/>
  <c r="AC81" i="5"/>
  <c r="AB81" i="5"/>
  <c r="AA81" i="5"/>
  <c r="AK81" i="5" s="1"/>
  <c r="Z81" i="5"/>
  <c r="Y81" i="5"/>
  <c r="X81" i="5"/>
  <c r="W81" i="5"/>
  <c r="V81" i="5"/>
  <c r="U81" i="5"/>
  <c r="T81" i="5"/>
  <c r="S81" i="5"/>
  <c r="R81" i="5"/>
  <c r="Q81" i="5"/>
  <c r="AI81" i="5" s="1"/>
  <c r="P81" i="5"/>
  <c r="O81" i="5"/>
  <c r="N81" i="5"/>
  <c r="AH81" i="5" s="1"/>
  <c r="M81" i="5"/>
  <c r="L81" i="5"/>
  <c r="K81" i="5"/>
  <c r="J81" i="5"/>
  <c r="I81" i="5"/>
  <c r="AG81" i="5" s="1"/>
  <c r="H81" i="5"/>
  <c r="G81" i="5"/>
  <c r="F81" i="5"/>
  <c r="E81" i="5"/>
  <c r="D81" i="5"/>
  <c r="C81" i="5"/>
  <c r="AF81" i="5" s="1"/>
  <c r="B81" i="5"/>
  <c r="AK80" i="5"/>
  <c r="AE80" i="5"/>
  <c r="AD80" i="5"/>
  <c r="AC80" i="5"/>
  <c r="AB80" i="5"/>
  <c r="AA80" i="5"/>
  <c r="Z80" i="5"/>
  <c r="Y80" i="5"/>
  <c r="X80" i="5"/>
  <c r="W80" i="5"/>
  <c r="AJ80" i="5" s="1"/>
  <c r="V80" i="5"/>
  <c r="U80" i="5"/>
  <c r="T80" i="5"/>
  <c r="S80" i="5"/>
  <c r="R80" i="5"/>
  <c r="AI80" i="5" s="1"/>
  <c r="Q80" i="5"/>
  <c r="P80" i="5"/>
  <c r="O80" i="5"/>
  <c r="N80" i="5"/>
  <c r="M80" i="5"/>
  <c r="AH80" i="5" s="1"/>
  <c r="L80" i="5"/>
  <c r="K80" i="5"/>
  <c r="J80" i="5"/>
  <c r="I80" i="5"/>
  <c r="H80" i="5"/>
  <c r="G80" i="5"/>
  <c r="AG80" i="5" s="1"/>
  <c r="F80" i="5"/>
  <c r="E80" i="5"/>
  <c r="D80" i="5"/>
  <c r="C80" i="5"/>
  <c r="B80" i="5"/>
  <c r="AF80" i="5" s="1"/>
  <c r="AG79" i="5"/>
  <c r="AE79" i="5"/>
  <c r="AD79" i="5"/>
  <c r="AC79" i="5"/>
  <c r="AB79" i="5"/>
  <c r="AA79" i="5"/>
  <c r="AK79" i="5" s="1"/>
  <c r="Z79" i="5"/>
  <c r="Y79" i="5"/>
  <c r="X79" i="5"/>
  <c r="W79" i="5"/>
  <c r="V79" i="5"/>
  <c r="U79" i="5"/>
  <c r="T79" i="5"/>
  <c r="S79" i="5"/>
  <c r="R79" i="5"/>
  <c r="Q79" i="5"/>
  <c r="AI79" i="5" s="1"/>
  <c r="P79" i="5"/>
  <c r="O79" i="5"/>
  <c r="N79" i="5"/>
  <c r="M79" i="5"/>
  <c r="L79" i="5"/>
  <c r="AH79" i="5" s="1"/>
  <c r="K79" i="5"/>
  <c r="J79" i="5"/>
  <c r="I79" i="5"/>
  <c r="H79" i="5"/>
  <c r="G79" i="5"/>
  <c r="F79" i="5"/>
  <c r="E79" i="5"/>
  <c r="D79" i="5"/>
  <c r="C79" i="5"/>
  <c r="AF79" i="5" s="1"/>
  <c r="B79" i="5"/>
  <c r="AK78" i="5"/>
  <c r="AE78" i="5"/>
  <c r="AD78" i="5"/>
  <c r="AC78" i="5"/>
  <c r="AB78" i="5"/>
  <c r="AA78" i="5"/>
  <c r="Z78" i="5"/>
  <c r="Y78" i="5"/>
  <c r="X78" i="5"/>
  <c r="W78" i="5"/>
  <c r="AJ78" i="5" s="1"/>
  <c r="V78" i="5"/>
  <c r="U78" i="5"/>
  <c r="T78" i="5"/>
  <c r="S78" i="5"/>
  <c r="R78" i="5"/>
  <c r="AI78" i="5" s="1"/>
  <c r="Q78" i="5"/>
  <c r="P78" i="5"/>
  <c r="O78" i="5"/>
  <c r="N78" i="5"/>
  <c r="M78" i="5"/>
  <c r="AH78" i="5" s="1"/>
  <c r="L78" i="5"/>
  <c r="K78" i="5"/>
  <c r="J78" i="5"/>
  <c r="I78" i="5"/>
  <c r="H78" i="5"/>
  <c r="G78" i="5"/>
  <c r="AG78" i="5" s="1"/>
  <c r="F78" i="5"/>
  <c r="E78" i="5"/>
  <c r="D78" i="5"/>
  <c r="C78" i="5"/>
  <c r="B78" i="5"/>
  <c r="AF78" i="5" s="1"/>
  <c r="AG77" i="5"/>
  <c r="AE77" i="5"/>
  <c r="AD77" i="5"/>
  <c r="AC77" i="5"/>
  <c r="AB77" i="5"/>
  <c r="AA77" i="5"/>
  <c r="AK77" i="5" s="1"/>
  <c r="Z77" i="5"/>
  <c r="Y77" i="5"/>
  <c r="X77" i="5"/>
  <c r="W77" i="5"/>
  <c r="V77" i="5"/>
  <c r="AJ77" i="5" s="1"/>
  <c r="U77" i="5"/>
  <c r="T77" i="5"/>
  <c r="S77" i="5"/>
  <c r="R77" i="5"/>
  <c r="Q77" i="5"/>
  <c r="AI77" i="5" s="1"/>
  <c r="P77" i="5"/>
  <c r="O77" i="5"/>
  <c r="N77" i="5"/>
  <c r="M77" i="5"/>
  <c r="L77" i="5"/>
  <c r="AH77" i="5" s="1"/>
  <c r="K77" i="5"/>
  <c r="J77" i="5"/>
  <c r="I77" i="5"/>
  <c r="H77" i="5"/>
  <c r="G77" i="5"/>
  <c r="F77" i="5"/>
  <c r="E77" i="5"/>
  <c r="D77" i="5"/>
  <c r="C77" i="5"/>
  <c r="AF77" i="5" s="1"/>
  <c r="B77" i="5"/>
  <c r="AE76" i="5"/>
  <c r="AD76" i="5"/>
  <c r="AC76" i="5"/>
  <c r="AK76" i="5" s="1"/>
  <c r="AB76" i="5"/>
  <c r="AA76" i="5"/>
  <c r="Z76" i="5"/>
  <c r="Y76" i="5"/>
  <c r="X76" i="5"/>
  <c r="W76" i="5"/>
  <c r="AJ76" i="5" s="1"/>
  <c r="V76" i="5"/>
  <c r="U76" i="5"/>
  <c r="T76" i="5"/>
  <c r="S76" i="5"/>
  <c r="R76" i="5"/>
  <c r="Q76" i="5"/>
  <c r="P76" i="5"/>
  <c r="O76" i="5"/>
  <c r="N76" i="5"/>
  <c r="M76" i="5"/>
  <c r="AH76" i="5" s="1"/>
  <c r="L76" i="5"/>
  <c r="K76" i="5"/>
  <c r="J76" i="5"/>
  <c r="I76" i="5"/>
  <c r="H76" i="5"/>
  <c r="G76" i="5"/>
  <c r="AG76" i="5" s="1"/>
  <c r="F76" i="5"/>
  <c r="E76" i="5"/>
  <c r="D76" i="5"/>
  <c r="C76" i="5"/>
  <c r="B76" i="5"/>
  <c r="AE75" i="5"/>
  <c r="AD75" i="5"/>
  <c r="AC75" i="5"/>
  <c r="AB75" i="5"/>
  <c r="AA75" i="5"/>
  <c r="AK75" i="5" s="1"/>
  <c r="Z75" i="5"/>
  <c r="Y75" i="5"/>
  <c r="X75" i="5"/>
  <c r="W75" i="5"/>
  <c r="V75" i="5"/>
  <c r="AJ75" i="5" s="1"/>
  <c r="U75" i="5"/>
  <c r="T75" i="5"/>
  <c r="S75" i="5"/>
  <c r="R75" i="5"/>
  <c r="Q75" i="5"/>
  <c r="P75" i="5"/>
  <c r="O75" i="5"/>
  <c r="N75" i="5"/>
  <c r="M75" i="5"/>
  <c r="L75" i="5"/>
  <c r="AH75" i="5" s="1"/>
  <c r="K75" i="5"/>
  <c r="J75" i="5"/>
  <c r="I75" i="5"/>
  <c r="AG75" i="5" s="1"/>
  <c r="H75" i="5"/>
  <c r="G75" i="5"/>
  <c r="F75" i="5"/>
  <c r="E75" i="5"/>
  <c r="D75" i="5"/>
  <c r="C75" i="5"/>
  <c r="AF75" i="5" s="1"/>
  <c r="B75" i="5"/>
  <c r="AE74" i="5"/>
  <c r="AD74" i="5"/>
  <c r="AC74" i="5"/>
  <c r="AK74" i="5" s="1"/>
  <c r="AB74" i="5"/>
  <c r="AA74" i="5"/>
  <c r="Z74" i="5"/>
  <c r="Y74" i="5"/>
  <c r="X74" i="5"/>
  <c r="W74" i="5"/>
  <c r="AJ74" i="5" s="1"/>
  <c r="V74" i="5"/>
  <c r="U74" i="5"/>
  <c r="T74" i="5"/>
  <c r="S74" i="5"/>
  <c r="R74" i="5"/>
  <c r="AI74" i="5" s="1"/>
  <c r="Q74" i="5"/>
  <c r="P74" i="5"/>
  <c r="O74" i="5"/>
  <c r="N74" i="5"/>
  <c r="M74" i="5"/>
  <c r="AH74" i="5" s="1"/>
  <c r="L74" i="5"/>
  <c r="K74" i="5"/>
  <c r="J74" i="5"/>
  <c r="I74" i="5"/>
  <c r="H74" i="5"/>
  <c r="G74" i="5"/>
  <c r="AG74" i="5" s="1"/>
  <c r="F74" i="5"/>
  <c r="E74" i="5"/>
  <c r="D74" i="5"/>
  <c r="C74" i="5"/>
  <c r="B74" i="5"/>
  <c r="AF74" i="5" s="1"/>
  <c r="AE73" i="5"/>
  <c r="AD73" i="5"/>
  <c r="AC73" i="5"/>
  <c r="AB73" i="5"/>
  <c r="AA73" i="5"/>
  <c r="AK73" i="5" s="1"/>
  <c r="Z73" i="5"/>
  <c r="Y73" i="5"/>
  <c r="X73" i="5"/>
  <c r="W73" i="5"/>
  <c r="V73" i="5"/>
  <c r="AJ73" i="5" s="1"/>
  <c r="U73" i="5"/>
  <c r="T73" i="5"/>
  <c r="S73" i="5"/>
  <c r="R73" i="5"/>
  <c r="Q73" i="5"/>
  <c r="AI73" i="5" s="1"/>
  <c r="P73" i="5"/>
  <c r="O73" i="5"/>
  <c r="N73" i="5"/>
  <c r="M73" i="5"/>
  <c r="L73" i="5"/>
  <c r="AH73" i="5" s="1"/>
  <c r="K73" i="5"/>
  <c r="AG73" i="5" s="1"/>
  <c r="J73" i="5"/>
  <c r="I73" i="5"/>
  <c r="H73" i="5"/>
  <c r="G73" i="5"/>
  <c r="F73" i="5"/>
  <c r="E73" i="5"/>
  <c r="D73" i="5"/>
  <c r="C73" i="5"/>
  <c r="AF73" i="5" s="1"/>
  <c r="B73" i="5"/>
  <c r="AE72" i="5"/>
  <c r="AD72" i="5"/>
  <c r="AC72" i="5"/>
  <c r="AB72" i="5"/>
  <c r="AA72" i="5"/>
  <c r="AK72" i="5" s="1"/>
  <c r="Z72" i="5"/>
  <c r="Y72" i="5"/>
  <c r="X72" i="5"/>
  <c r="W72" i="5"/>
  <c r="V72" i="5"/>
  <c r="U72" i="5"/>
  <c r="T72" i="5"/>
  <c r="S72" i="5"/>
  <c r="R72" i="5"/>
  <c r="AI72" i="5" s="1"/>
  <c r="Q72" i="5"/>
  <c r="P72" i="5"/>
  <c r="O72" i="5"/>
  <c r="N72" i="5"/>
  <c r="M72" i="5"/>
  <c r="AH72" i="5" s="1"/>
  <c r="L72" i="5"/>
  <c r="K72" i="5"/>
  <c r="J72" i="5"/>
  <c r="I72" i="5"/>
  <c r="H72" i="5"/>
  <c r="G72" i="5"/>
  <c r="F72" i="5"/>
  <c r="E72" i="5"/>
  <c r="D72" i="5"/>
  <c r="C72" i="5"/>
  <c r="B72" i="5"/>
  <c r="AF72" i="5" s="1"/>
  <c r="AE71" i="5"/>
  <c r="AD71" i="5"/>
  <c r="AC71" i="5"/>
  <c r="AB71" i="5"/>
  <c r="AA71" i="5"/>
  <c r="AK71" i="5" s="1"/>
  <c r="Z71" i="5"/>
  <c r="Y71" i="5"/>
  <c r="X71" i="5"/>
  <c r="W71" i="5"/>
  <c r="V71" i="5"/>
  <c r="AJ71" i="5" s="1"/>
  <c r="U71" i="5"/>
  <c r="T71" i="5"/>
  <c r="S71" i="5"/>
  <c r="R71" i="5"/>
  <c r="Q71" i="5"/>
  <c r="AI71" i="5" s="1"/>
  <c r="P71" i="5"/>
  <c r="O71" i="5"/>
  <c r="N71" i="5"/>
  <c r="M71" i="5"/>
  <c r="L71" i="5"/>
  <c r="AH71" i="5" s="1"/>
  <c r="K71" i="5"/>
  <c r="J71" i="5"/>
  <c r="I71" i="5"/>
  <c r="H71" i="5"/>
  <c r="G71" i="5"/>
  <c r="AG71" i="5" s="1"/>
  <c r="F71" i="5"/>
  <c r="E71" i="5"/>
  <c r="D71" i="5"/>
  <c r="C71" i="5"/>
  <c r="AF71" i="5" s="1"/>
  <c r="B71" i="5"/>
  <c r="AE70" i="5"/>
  <c r="AD70" i="5"/>
  <c r="AC70" i="5"/>
  <c r="AB70" i="5"/>
  <c r="AA70" i="5"/>
  <c r="AK70" i="5" s="1"/>
  <c r="Z70" i="5"/>
  <c r="Y70" i="5"/>
  <c r="X70" i="5"/>
  <c r="W70" i="5"/>
  <c r="AJ70" i="5" s="1"/>
  <c r="V70" i="5"/>
  <c r="U70" i="5"/>
  <c r="T70" i="5"/>
  <c r="S70" i="5"/>
  <c r="AI70" i="5" s="1"/>
  <c r="R70" i="5"/>
  <c r="Q70" i="5"/>
  <c r="P70" i="5"/>
  <c r="O70" i="5"/>
  <c r="N70" i="5"/>
  <c r="M70" i="5"/>
  <c r="AH70" i="5" s="1"/>
  <c r="L70" i="5"/>
  <c r="K70" i="5"/>
  <c r="J70" i="5"/>
  <c r="I70" i="5"/>
  <c r="H70" i="5"/>
  <c r="G70" i="5"/>
  <c r="F70" i="5"/>
  <c r="E70" i="5"/>
  <c r="D70" i="5"/>
  <c r="C70" i="5"/>
  <c r="B70" i="5"/>
  <c r="AE69" i="5"/>
  <c r="AD69" i="5"/>
  <c r="AC69" i="5"/>
  <c r="AB69" i="5"/>
  <c r="AA69" i="5"/>
  <c r="AK69" i="5" s="1"/>
  <c r="Z69" i="5"/>
  <c r="Y69" i="5"/>
  <c r="X69" i="5"/>
  <c r="W69" i="5"/>
  <c r="V69" i="5"/>
  <c r="AJ69" i="5" s="1"/>
  <c r="U69" i="5"/>
  <c r="T69" i="5"/>
  <c r="S69" i="5"/>
  <c r="R69" i="5"/>
  <c r="Q69" i="5"/>
  <c r="AI69" i="5" s="1"/>
  <c r="P69" i="5"/>
  <c r="O69" i="5"/>
  <c r="N69" i="5"/>
  <c r="M69" i="5"/>
  <c r="L69" i="5"/>
  <c r="K69" i="5"/>
  <c r="J69" i="5"/>
  <c r="I69" i="5"/>
  <c r="H69" i="5"/>
  <c r="G69" i="5"/>
  <c r="AG69" i="5" s="1"/>
  <c r="F69" i="5"/>
  <c r="E69" i="5"/>
  <c r="D69" i="5"/>
  <c r="C69" i="5"/>
  <c r="AF69" i="5" s="1"/>
  <c r="B69" i="5"/>
  <c r="AE68" i="5"/>
  <c r="AD68" i="5"/>
  <c r="AC68" i="5"/>
  <c r="AK68" i="5" s="1"/>
  <c r="AB68" i="5"/>
  <c r="AA68" i="5"/>
  <c r="Z68" i="5"/>
  <c r="Y68" i="5"/>
  <c r="X68" i="5"/>
  <c r="W68" i="5"/>
  <c r="AJ68" i="5" s="1"/>
  <c r="V68" i="5"/>
  <c r="U68" i="5"/>
  <c r="T68" i="5"/>
  <c r="S68" i="5"/>
  <c r="R68" i="5"/>
  <c r="AI68" i="5" s="1"/>
  <c r="Q68" i="5"/>
  <c r="P68" i="5"/>
  <c r="O68" i="5"/>
  <c r="N68" i="5"/>
  <c r="M68" i="5"/>
  <c r="AH68" i="5" s="1"/>
  <c r="L68" i="5"/>
  <c r="K68" i="5"/>
  <c r="J68" i="5"/>
  <c r="I68" i="5"/>
  <c r="H68" i="5"/>
  <c r="G68" i="5"/>
  <c r="AG68" i="5" s="1"/>
  <c r="F68" i="5"/>
  <c r="E68" i="5"/>
  <c r="D68" i="5"/>
  <c r="C68" i="5"/>
  <c r="B68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AI67" i="5" s="1"/>
  <c r="P67" i="5"/>
  <c r="O67" i="5"/>
  <c r="N67" i="5"/>
  <c r="M67" i="5"/>
  <c r="L67" i="5"/>
  <c r="AH67" i="5" s="1"/>
  <c r="K67" i="5"/>
  <c r="J67" i="5"/>
  <c r="I67" i="5"/>
  <c r="H67" i="5"/>
  <c r="G67" i="5"/>
  <c r="AG67" i="5" s="1"/>
  <c r="F67" i="5"/>
  <c r="E67" i="5"/>
  <c r="D67" i="5"/>
  <c r="C67" i="5"/>
  <c r="B67" i="5"/>
  <c r="AE66" i="5"/>
  <c r="AD66" i="5"/>
  <c r="AC66" i="5"/>
  <c r="AB66" i="5"/>
  <c r="AA66" i="5"/>
  <c r="AK66" i="5" s="1"/>
  <c r="Z66" i="5"/>
  <c r="Y66" i="5"/>
  <c r="X66" i="5"/>
  <c r="W66" i="5"/>
  <c r="AJ66" i="5" s="1"/>
  <c r="V66" i="5"/>
  <c r="U66" i="5"/>
  <c r="AI66" i="5" s="1"/>
  <c r="T66" i="5"/>
  <c r="S66" i="5"/>
  <c r="R66" i="5"/>
  <c r="Q66" i="5"/>
  <c r="P66" i="5"/>
  <c r="O66" i="5"/>
  <c r="N66" i="5"/>
  <c r="M66" i="5"/>
  <c r="AH66" i="5" s="1"/>
  <c r="L66" i="5"/>
  <c r="K66" i="5"/>
  <c r="J66" i="5"/>
  <c r="I66" i="5"/>
  <c r="H66" i="5"/>
  <c r="G66" i="5"/>
  <c r="AG66" i="5" s="1"/>
  <c r="F66" i="5"/>
  <c r="E66" i="5"/>
  <c r="D66" i="5"/>
  <c r="C66" i="5"/>
  <c r="B66" i="5"/>
  <c r="AG65" i="5"/>
  <c r="AE65" i="5"/>
  <c r="AD65" i="5"/>
  <c r="AC65" i="5"/>
  <c r="AB65" i="5"/>
  <c r="AA65" i="5"/>
  <c r="Z65" i="5"/>
  <c r="Y65" i="5"/>
  <c r="X65" i="5"/>
  <c r="W65" i="5"/>
  <c r="V65" i="5"/>
  <c r="AJ65" i="5" s="1"/>
  <c r="U65" i="5"/>
  <c r="T65" i="5"/>
  <c r="S65" i="5"/>
  <c r="R65" i="5"/>
  <c r="Q65" i="5"/>
  <c r="AI65" i="5" s="1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I64" i="5"/>
  <c r="AE64" i="5"/>
  <c r="AK64" i="5" s="1"/>
  <c r="AD64" i="5"/>
  <c r="AC64" i="5"/>
  <c r="AB64" i="5"/>
  <c r="AA64" i="5"/>
  <c r="Z64" i="5"/>
  <c r="Y64" i="5"/>
  <c r="X64" i="5"/>
  <c r="W64" i="5"/>
  <c r="AJ64" i="5" s="1"/>
  <c r="V64" i="5"/>
  <c r="U64" i="5"/>
  <c r="T64" i="5"/>
  <c r="S64" i="5"/>
  <c r="R64" i="5"/>
  <c r="Q64" i="5"/>
  <c r="P64" i="5"/>
  <c r="O64" i="5"/>
  <c r="AH64" i="5" s="1"/>
  <c r="N64" i="5"/>
  <c r="M64" i="5"/>
  <c r="L64" i="5"/>
  <c r="K64" i="5"/>
  <c r="J64" i="5"/>
  <c r="I64" i="5"/>
  <c r="H64" i="5"/>
  <c r="G64" i="5"/>
  <c r="AG64" i="5" s="1"/>
  <c r="F64" i="5"/>
  <c r="E64" i="5"/>
  <c r="D64" i="5"/>
  <c r="C64" i="5"/>
  <c r="B64" i="5"/>
  <c r="AF64" i="5" s="1"/>
  <c r="AE63" i="5"/>
  <c r="AD63" i="5"/>
  <c r="AC63" i="5"/>
  <c r="AB63" i="5"/>
  <c r="AA63" i="5"/>
  <c r="Z63" i="5"/>
  <c r="Y63" i="5"/>
  <c r="X63" i="5"/>
  <c r="W63" i="5"/>
  <c r="V63" i="5"/>
  <c r="AJ63" i="5" s="1"/>
  <c r="U63" i="5"/>
  <c r="T63" i="5"/>
  <c r="S63" i="5"/>
  <c r="R63" i="5"/>
  <c r="Q63" i="5"/>
  <c r="AI63" i="5" s="1"/>
  <c r="P63" i="5"/>
  <c r="O63" i="5"/>
  <c r="N63" i="5"/>
  <c r="M63" i="5"/>
  <c r="L63" i="5"/>
  <c r="K63" i="5"/>
  <c r="J63" i="5"/>
  <c r="I63" i="5"/>
  <c r="H63" i="5"/>
  <c r="G63" i="5"/>
  <c r="AG63" i="5" s="1"/>
  <c r="F63" i="5"/>
  <c r="E63" i="5"/>
  <c r="D63" i="5"/>
  <c r="C63" i="5"/>
  <c r="B63" i="5"/>
  <c r="AE62" i="5"/>
  <c r="AK62" i="5" s="1"/>
  <c r="AD62" i="5"/>
  <c r="AC62" i="5"/>
  <c r="AB62" i="5"/>
  <c r="AA62" i="5"/>
  <c r="Z62" i="5"/>
  <c r="Y62" i="5"/>
  <c r="X62" i="5"/>
  <c r="W62" i="5"/>
  <c r="AJ62" i="5" s="1"/>
  <c r="V62" i="5"/>
  <c r="U62" i="5"/>
  <c r="T62" i="5"/>
  <c r="S62" i="5"/>
  <c r="R62" i="5"/>
  <c r="AI62" i="5" s="1"/>
  <c r="Q62" i="5"/>
  <c r="P62" i="5"/>
  <c r="O62" i="5"/>
  <c r="AH62" i="5" s="1"/>
  <c r="N62" i="5"/>
  <c r="M62" i="5"/>
  <c r="L62" i="5"/>
  <c r="K62" i="5"/>
  <c r="J62" i="5"/>
  <c r="I62" i="5"/>
  <c r="H62" i="5"/>
  <c r="G62" i="5"/>
  <c r="AG62" i="5" s="1"/>
  <c r="F62" i="5"/>
  <c r="E62" i="5"/>
  <c r="D62" i="5"/>
  <c r="C62" i="5"/>
  <c r="B62" i="5"/>
  <c r="AF62" i="5" s="1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AI61" i="5" s="1"/>
  <c r="P61" i="5"/>
  <c r="O61" i="5"/>
  <c r="N61" i="5"/>
  <c r="M61" i="5"/>
  <c r="L61" i="5"/>
  <c r="K61" i="5"/>
  <c r="J61" i="5"/>
  <c r="I61" i="5"/>
  <c r="H61" i="5"/>
  <c r="G61" i="5"/>
  <c r="AG61" i="5" s="1"/>
  <c r="F61" i="5"/>
  <c r="E61" i="5"/>
  <c r="D61" i="5"/>
  <c r="C61" i="5"/>
  <c r="AF61" i="5" s="1"/>
  <c r="B61" i="5"/>
  <c r="AH60" i="5"/>
  <c r="AE60" i="5"/>
  <c r="AD60" i="5"/>
  <c r="AC60" i="5"/>
  <c r="AB60" i="5"/>
  <c r="AA60" i="5"/>
  <c r="AK60" i="5" s="1"/>
  <c r="Z60" i="5"/>
  <c r="Y60" i="5"/>
  <c r="X60" i="5"/>
  <c r="W60" i="5"/>
  <c r="V60" i="5"/>
  <c r="U60" i="5"/>
  <c r="T60" i="5"/>
  <c r="S60" i="5"/>
  <c r="AI60" i="5" s="1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G59" i="5"/>
  <c r="AE59" i="5"/>
  <c r="AD59" i="5"/>
  <c r="AC59" i="5"/>
  <c r="AB59" i="5"/>
  <c r="AA59" i="5"/>
  <c r="AK59" i="5" s="1"/>
  <c r="Z59" i="5"/>
  <c r="Y59" i="5"/>
  <c r="X59" i="5"/>
  <c r="W59" i="5"/>
  <c r="V59" i="5"/>
  <c r="U59" i="5"/>
  <c r="T59" i="5"/>
  <c r="S59" i="5"/>
  <c r="R59" i="5"/>
  <c r="Q59" i="5"/>
  <c r="AI59" i="5" s="1"/>
  <c r="P59" i="5"/>
  <c r="O59" i="5"/>
  <c r="N59" i="5"/>
  <c r="M59" i="5"/>
  <c r="L59" i="5"/>
  <c r="AH59" i="5" s="1"/>
  <c r="K59" i="5"/>
  <c r="J59" i="5"/>
  <c r="I59" i="5"/>
  <c r="H59" i="5"/>
  <c r="G59" i="5"/>
  <c r="F59" i="5"/>
  <c r="E59" i="5"/>
  <c r="D59" i="5"/>
  <c r="C59" i="5"/>
  <c r="B59" i="5"/>
  <c r="AK58" i="5"/>
  <c r="AI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AH58" i="5" s="1"/>
  <c r="L58" i="5"/>
  <c r="K58" i="5"/>
  <c r="J58" i="5"/>
  <c r="I58" i="5"/>
  <c r="H58" i="5"/>
  <c r="G58" i="5"/>
  <c r="F58" i="5"/>
  <c r="E58" i="5"/>
  <c r="D58" i="5"/>
  <c r="C58" i="5"/>
  <c r="B58" i="5"/>
  <c r="AF58" i="5" s="1"/>
  <c r="AE57" i="5"/>
  <c r="AD57" i="5"/>
  <c r="AC57" i="5"/>
  <c r="AB57" i="5"/>
  <c r="AA57" i="5"/>
  <c r="AK57" i="5" s="1"/>
  <c r="Z57" i="5"/>
  <c r="Y57" i="5"/>
  <c r="X57" i="5"/>
  <c r="W57" i="5"/>
  <c r="V57" i="5"/>
  <c r="U57" i="5"/>
  <c r="T57" i="5"/>
  <c r="S57" i="5"/>
  <c r="R57" i="5"/>
  <c r="Q57" i="5"/>
  <c r="AI57" i="5" s="1"/>
  <c r="P57" i="5"/>
  <c r="O57" i="5"/>
  <c r="N57" i="5"/>
  <c r="M57" i="5"/>
  <c r="L57" i="5"/>
  <c r="AH57" i="5" s="1"/>
  <c r="K57" i="5"/>
  <c r="J57" i="5"/>
  <c r="I57" i="5"/>
  <c r="H57" i="5"/>
  <c r="G57" i="5"/>
  <c r="AG57" i="5" s="1"/>
  <c r="F57" i="5"/>
  <c r="E57" i="5"/>
  <c r="D57" i="5"/>
  <c r="C57" i="5"/>
  <c r="B57" i="5"/>
  <c r="AF57" i="5" s="1"/>
  <c r="AK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AI56" i="5" s="1"/>
  <c r="Q56" i="5"/>
  <c r="P56" i="5"/>
  <c r="O56" i="5"/>
  <c r="N56" i="5"/>
  <c r="M56" i="5"/>
  <c r="AH56" i="5" s="1"/>
  <c r="L56" i="5"/>
  <c r="K56" i="5"/>
  <c r="J56" i="5"/>
  <c r="I56" i="5"/>
  <c r="H56" i="5"/>
  <c r="G56" i="5"/>
  <c r="F56" i="5"/>
  <c r="E56" i="5"/>
  <c r="D56" i="5"/>
  <c r="C56" i="5"/>
  <c r="B56" i="5"/>
  <c r="AF56" i="5" s="1"/>
  <c r="AE55" i="5"/>
  <c r="AD55" i="5"/>
  <c r="AC55" i="5"/>
  <c r="AB55" i="5"/>
  <c r="AA55" i="5"/>
  <c r="AK55" i="5" s="1"/>
  <c r="Z55" i="5"/>
  <c r="Y55" i="5"/>
  <c r="X55" i="5"/>
  <c r="W55" i="5"/>
  <c r="V55" i="5"/>
  <c r="AJ55" i="5" s="1"/>
  <c r="U55" i="5"/>
  <c r="T55" i="5"/>
  <c r="S55" i="5"/>
  <c r="R55" i="5"/>
  <c r="Q55" i="5"/>
  <c r="AI55" i="5" s="1"/>
  <c r="P55" i="5"/>
  <c r="O55" i="5"/>
  <c r="N55" i="5"/>
  <c r="M55" i="5"/>
  <c r="L55" i="5"/>
  <c r="AH55" i="5" s="1"/>
  <c r="K55" i="5"/>
  <c r="J55" i="5"/>
  <c r="I55" i="5"/>
  <c r="H55" i="5"/>
  <c r="G55" i="5"/>
  <c r="AG55" i="5" s="1"/>
  <c r="F55" i="5"/>
  <c r="E55" i="5"/>
  <c r="D55" i="5"/>
  <c r="C55" i="5"/>
  <c r="B55" i="5"/>
  <c r="AF55" i="5" s="1"/>
  <c r="AE54" i="5"/>
  <c r="AD54" i="5"/>
  <c r="AC54" i="5"/>
  <c r="AB54" i="5"/>
  <c r="AA54" i="5"/>
  <c r="AK54" i="5" s="1"/>
  <c r="Z54" i="5"/>
  <c r="Y54" i="5"/>
  <c r="X54" i="5"/>
  <c r="W54" i="5"/>
  <c r="V54" i="5"/>
  <c r="AJ54" i="5" s="1"/>
  <c r="U54" i="5"/>
  <c r="T54" i="5"/>
  <c r="S54" i="5"/>
  <c r="AI54" i="5" s="1"/>
  <c r="R54" i="5"/>
  <c r="Q54" i="5"/>
  <c r="P54" i="5"/>
  <c r="O54" i="5"/>
  <c r="N54" i="5"/>
  <c r="M54" i="5"/>
  <c r="AH54" i="5" s="1"/>
  <c r="L54" i="5"/>
  <c r="K54" i="5"/>
  <c r="J54" i="5"/>
  <c r="I54" i="5"/>
  <c r="H54" i="5"/>
  <c r="G54" i="5"/>
  <c r="F54" i="5"/>
  <c r="E54" i="5"/>
  <c r="D54" i="5"/>
  <c r="C54" i="5"/>
  <c r="B54" i="5"/>
  <c r="AE53" i="5"/>
  <c r="AD53" i="5"/>
  <c r="AC53" i="5"/>
  <c r="AB53" i="5"/>
  <c r="AA53" i="5"/>
  <c r="AK53" i="5" s="1"/>
  <c r="Z53" i="5"/>
  <c r="Y53" i="5"/>
  <c r="X53" i="5"/>
  <c r="W53" i="5"/>
  <c r="V53" i="5"/>
  <c r="AJ53" i="5" s="1"/>
  <c r="U53" i="5"/>
  <c r="T53" i="5"/>
  <c r="S53" i="5"/>
  <c r="R53" i="5"/>
  <c r="Q53" i="5"/>
  <c r="AI53" i="5" s="1"/>
  <c r="P53" i="5"/>
  <c r="O53" i="5"/>
  <c r="N53" i="5"/>
  <c r="M53" i="5"/>
  <c r="L53" i="5"/>
  <c r="K53" i="5"/>
  <c r="J53" i="5"/>
  <c r="I53" i="5"/>
  <c r="H53" i="5"/>
  <c r="G53" i="5"/>
  <c r="AG53" i="5" s="1"/>
  <c r="F53" i="5"/>
  <c r="E53" i="5"/>
  <c r="D53" i="5"/>
  <c r="C53" i="5"/>
  <c r="B53" i="5"/>
  <c r="AE52" i="5"/>
  <c r="AD52" i="5"/>
  <c r="AC52" i="5"/>
  <c r="AK52" i="5" s="1"/>
  <c r="AB52" i="5"/>
  <c r="AA52" i="5"/>
  <c r="Z52" i="5"/>
  <c r="Y52" i="5"/>
  <c r="X52" i="5"/>
  <c r="W52" i="5"/>
  <c r="V52" i="5"/>
  <c r="U52" i="5"/>
  <c r="AI52" i="5" s="1"/>
  <c r="T52" i="5"/>
  <c r="S52" i="5"/>
  <c r="R52" i="5"/>
  <c r="Q52" i="5"/>
  <c r="P52" i="5"/>
  <c r="O52" i="5"/>
  <c r="N52" i="5"/>
  <c r="M52" i="5"/>
  <c r="AH52" i="5" s="1"/>
  <c r="L52" i="5"/>
  <c r="K52" i="5"/>
  <c r="J52" i="5"/>
  <c r="I52" i="5"/>
  <c r="H52" i="5"/>
  <c r="G52" i="5"/>
  <c r="AG52" i="5" s="1"/>
  <c r="F52" i="5"/>
  <c r="E52" i="5"/>
  <c r="D52" i="5"/>
  <c r="C52" i="5"/>
  <c r="B52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AI51" i="5" s="1"/>
  <c r="P51" i="5"/>
  <c r="O51" i="5"/>
  <c r="N51" i="5"/>
  <c r="M51" i="5"/>
  <c r="L51" i="5"/>
  <c r="AH51" i="5" s="1"/>
  <c r="K51" i="5"/>
  <c r="J51" i="5"/>
  <c r="I51" i="5"/>
  <c r="H51" i="5"/>
  <c r="G51" i="5"/>
  <c r="AG51" i="5" s="1"/>
  <c r="F51" i="5"/>
  <c r="E51" i="5"/>
  <c r="D51" i="5"/>
  <c r="C51" i="5"/>
  <c r="B51" i="5"/>
  <c r="AE50" i="5"/>
  <c r="AD50" i="5"/>
  <c r="AC50" i="5"/>
  <c r="AB50" i="5"/>
  <c r="AA50" i="5"/>
  <c r="AK50" i="5" s="1"/>
  <c r="Z50" i="5"/>
  <c r="Y50" i="5"/>
  <c r="X50" i="5"/>
  <c r="W50" i="5"/>
  <c r="V50" i="5"/>
  <c r="AJ50" i="5" s="1"/>
  <c r="U50" i="5"/>
  <c r="T50" i="5"/>
  <c r="S50" i="5"/>
  <c r="R50" i="5"/>
  <c r="AI50" i="5" s="1"/>
  <c r="Q50" i="5"/>
  <c r="P50" i="5"/>
  <c r="O50" i="5"/>
  <c r="N50" i="5"/>
  <c r="M50" i="5"/>
  <c r="AH50" i="5" s="1"/>
  <c r="L50" i="5"/>
  <c r="K50" i="5"/>
  <c r="J50" i="5"/>
  <c r="I50" i="5"/>
  <c r="H50" i="5"/>
  <c r="G50" i="5"/>
  <c r="AG50" i="5" s="1"/>
  <c r="F50" i="5"/>
  <c r="E50" i="5"/>
  <c r="D50" i="5"/>
  <c r="C50" i="5"/>
  <c r="B50" i="5"/>
  <c r="AG49" i="5"/>
  <c r="AE49" i="5"/>
  <c r="AD49" i="5"/>
  <c r="AC49" i="5"/>
  <c r="AB49" i="5"/>
  <c r="AA49" i="5"/>
  <c r="Z49" i="5"/>
  <c r="Y49" i="5"/>
  <c r="X49" i="5"/>
  <c r="W49" i="5"/>
  <c r="V49" i="5"/>
  <c r="AJ49" i="5" s="1"/>
  <c r="U49" i="5"/>
  <c r="T49" i="5"/>
  <c r="S49" i="5"/>
  <c r="R49" i="5"/>
  <c r="Q49" i="5"/>
  <c r="AI49" i="5" s="1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I48" i="5"/>
  <c r="AE48" i="5"/>
  <c r="AK48" i="5" s="1"/>
  <c r="AD48" i="5"/>
  <c r="AC48" i="5"/>
  <c r="AB48" i="5"/>
  <c r="AA48" i="5"/>
  <c r="Z48" i="5"/>
  <c r="Y48" i="5"/>
  <c r="X48" i="5"/>
  <c r="W48" i="5"/>
  <c r="V48" i="5"/>
  <c r="AJ48" i="5" s="1"/>
  <c r="U48" i="5"/>
  <c r="T48" i="5"/>
  <c r="S48" i="5"/>
  <c r="R48" i="5"/>
  <c r="Q48" i="5"/>
  <c r="P48" i="5"/>
  <c r="O48" i="5"/>
  <c r="AH48" i="5" s="1"/>
  <c r="N48" i="5"/>
  <c r="M48" i="5"/>
  <c r="L48" i="5"/>
  <c r="K48" i="5"/>
  <c r="J48" i="5"/>
  <c r="I48" i="5"/>
  <c r="H48" i="5"/>
  <c r="G48" i="5"/>
  <c r="AG48" i="5" s="1"/>
  <c r="F48" i="5"/>
  <c r="E48" i="5"/>
  <c r="D48" i="5"/>
  <c r="C48" i="5"/>
  <c r="B48" i="5"/>
  <c r="AF48" i="5" s="1"/>
  <c r="AE47" i="5"/>
  <c r="AD47" i="5"/>
  <c r="AC47" i="5"/>
  <c r="AB47" i="5"/>
  <c r="AA47" i="5"/>
  <c r="Z47" i="5"/>
  <c r="Y47" i="5"/>
  <c r="X47" i="5"/>
  <c r="W47" i="5"/>
  <c r="V47" i="5"/>
  <c r="AJ47" i="5" s="1"/>
  <c r="U47" i="5"/>
  <c r="T47" i="5"/>
  <c r="S47" i="5"/>
  <c r="R47" i="5"/>
  <c r="Q47" i="5"/>
  <c r="AI47" i="5" s="1"/>
  <c r="P47" i="5"/>
  <c r="O47" i="5"/>
  <c r="N47" i="5"/>
  <c r="M47" i="5"/>
  <c r="L47" i="5"/>
  <c r="K47" i="5"/>
  <c r="J47" i="5"/>
  <c r="I47" i="5"/>
  <c r="H47" i="5"/>
  <c r="G47" i="5"/>
  <c r="AG47" i="5" s="1"/>
  <c r="F47" i="5"/>
  <c r="E47" i="5"/>
  <c r="D47" i="5"/>
  <c r="C47" i="5"/>
  <c r="B47" i="5"/>
  <c r="AE46" i="5"/>
  <c r="AK46" i="5" s="1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AI46" i="5" s="1"/>
  <c r="Q46" i="5"/>
  <c r="P46" i="5"/>
  <c r="O46" i="5"/>
  <c r="AH46" i="5" s="1"/>
  <c r="N46" i="5"/>
  <c r="M46" i="5"/>
  <c r="L46" i="5"/>
  <c r="K46" i="5"/>
  <c r="J46" i="5"/>
  <c r="I46" i="5"/>
  <c r="H46" i="5"/>
  <c r="G46" i="5"/>
  <c r="AG46" i="5" s="1"/>
  <c r="F46" i="5"/>
  <c r="E46" i="5"/>
  <c r="D46" i="5"/>
  <c r="C46" i="5"/>
  <c r="B46" i="5"/>
  <c r="AF46" i="5" s="1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AI45" i="5" s="1"/>
  <c r="P45" i="5"/>
  <c r="O45" i="5"/>
  <c r="N45" i="5"/>
  <c r="M45" i="5"/>
  <c r="L45" i="5"/>
  <c r="K45" i="5"/>
  <c r="J45" i="5"/>
  <c r="I45" i="5"/>
  <c r="H45" i="5"/>
  <c r="G45" i="5"/>
  <c r="AG45" i="5" s="1"/>
  <c r="F45" i="5"/>
  <c r="E45" i="5"/>
  <c r="D45" i="5"/>
  <c r="C45" i="5"/>
  <c r="B45" i="5"/>
  <c r="AF45" i="5" s="1"/>
  <c r="AH44" i="5"/>
  <c r="AE44" i="5"/>
  <c r="AD44" i="5"/>
  <c r="AC44" i="5"/>
  <c r="AB44" i="5"/>
  <c r="AA44" i="5"/>
  <c r="AK44" i="5" s="1"/>
  <c r="Z44" i="5"/>
  <c r="Y44" i="5"/>
  <c r="X44" i="5"/>
  <c r="W44" i="5"/>
  <c r="V44" i="5"/>
  <c r="U44" i="5"/>
  <c r="T44" i="5"/>
  <c r="S44" i="5"/>
  <c r="AI44" i="5" s="1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G43" i="5"/>
  <c r="AE43" i="5"/>
  <c r="AD43" i="5"/>
  <c r="AC43" i="5"/>
  <c r="AB43" i="5"/>
  <c r="AA43" i="5"/>
  <c r="AK43" i="5" s="1"/>
  <c r="Z43" i="5"/>
  <c r="Y43" i="5"/>
  <c r="X43" i="5"/>
  <c r="W43" i="5"/>
  <c r="V43" i="5"/>
  <c r="U43" i="5"/>
  <c r="T43" i="5"/>
  <c r="S43" i="5"/>
  <c r="R43" i="5"/>
  <c r="Q43" i="5"/>
  <c r="AI43" i="5" s="1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K42" i="5"/>
  <c r="AI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AH42" i="5" s="1"/>
  <c r="L42" i="5"/>
  <c r="K42" i="5"/>
  <c r="J42" i="5"/>
  <c r="I42" i="5"/>
  <c r="H42" i="5"/>
  <c r="G42" i="5"/>
  <c r="F42" i="5"/>
  <c r="E42" i="5"/>
  <c r="D42" i="5"/>
  <c r="C42" i="5"/>
  <c r="B42" i="5"/>
  <c r="AF42" i="5" s="1"/>
  <c r="AE41" i="5"/>
  <c r="AD41" i="5"/>
  <c r="AC41" i="5"/>
  <c r="AB41" i="5"/>
  <c r="AA41" i="5"/>
  <c r="AK41" i="5" s="1"/>
  <c r="Z41" i="5"/>
  <c r="Y41" i="5"/>
  <c r="X41" i="5"/>
  <c r="W41" i="5"/>
  <c r="V41" i="5"/>
  <c r="U41" i="5"/>
  <c r="T41" i="5"/>
  <c r="S41" i="5"/>
  <c r="R41" i="5"/>
  <c r="Q41" i="5"/>
  <c r="AI41" i="5" s="1"/>
  <c r="P41" i="5"/>
  <c r="O41" i="5"/>
  <c r="N41" i="5"/>
  <c r="M41" i="5"/>
  <c r="L41" i="5"/>
  <c r="AH41" i="5" s="1"/>
  <c r="K41" i="5"/>
  <c r="J41" i="5"/>
  <c r="I41" i="5"/>
  <c r="H41" i="5"/>
  <c r="G41" i="5"/>
  <c r="AG41" i="5" s="1"/>
  <c r="F41" i="5"/>
  <c r="E41" i="5"/>
  <c r="D41" i="5"/>
  <c r="C41" i="5"/>
  <c r="B41" i="5"/>
  <c r="AF41" i="5" s="1"/>
  <c r="AK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AI40" i="5" s="1"/>
  <c r="Q40" i="5"/>
  <c r="P40" i="5"/>
  <c r="O40" i="5"/>
  <c r="N40" i="5"/>
  <c r="M40" i="5"/>
  <c r="AH40" i="5" s="1"/>
  <c r="L40" i="5"/>
  <c r="K40" i="5"/>
  <c r="J40" i="5"/>
  <c r="I40" i="5"/>
  <c r="H40" i="5"/>
  <c r="G40" i="5"/>
  <c r="F40" i="5"/>
  <c r="E40" i="5"/>
  <c r="D40" i="5"/>
  <c r="C40" i="5"/>
  <c r="B40" i="5"/>
  <c r="AF40" i="5" s="1"/>
  <c r="AE39" i="5"/>
  <c r="AD39" i="5"/>
  <c r="AC39" i="5"/>
  <c r="AB39" i="5"/>
  <c r="AA39" i="5"/>
  <c r="AK39" i="5" s="1"/>
  <c r="Z39" i="5"/>
  <c r="Y39" i="5"/>
  <c r="X39" i="5"/>
  <c r="W39" i="5"/>
  <c r="V39" i="5"/>
  <c r="U39" i="5"/>
  <c r="T39" i="5"/>
  <c r="S39" i="5"/>
  <c r="R39" i="5"/>
  <c r="Q39" i="5"/>
  <c r="AI39" i="5" s="1"/>
  <c r="P39" i="5"/>
  <c r="O39" i="5"/>
  <c r="N39" i="5"/>
  <c r="M39" i="5"/>
  <c r="L39" i="5"/>
  <c r="AH39" i="5" s="1"/>
  <c r="K39" i="5"/>
  <c r="J39" i="5"/>
  <c r="I39" i="5"/>
  <c r="H39" i="5"/>
  <c r="G39" i="5"/>
  <c r="AG39" i="5" s="1"/>
  <c r="F39" i="5"/>
  <c r="E39" i="5"/>
  <c r="D39" i="5"/>
  <c r="C39" i="5"/>
  <c r="B39" i="5"/>
  <c r="AF39" i="5" s="1"/>
  <c r="AE38" i="5"/>
  <c r="AD38" i="5"/>
  <c r="AC38" i="5"/>
  <c r="AB38" i="5"/>
  <c r="AA38" i="5"/>
  <c r="AK38" i="5" s="1"/>
  <c r="Z38" i="5"/>
  <c r="Y38" i="5"/>
  <c r="X38" i="5"/>
  <c r="W38" i="5"/>
  <c r="V38" i="5"/>
  <c r="AJ38" i="5" s="1"/>
  <c r="U38" i="5"/>
  <c r="T38" i="5"/>
  <c r="S38" i="5"/>
  <c r="AI38" i="5" s="1"/>
  <c r="R38" i="5"/>
  <c r="Q38" i="5"/>
  <c r="P38" i="5"/>
  <c r="O38" i="5"/>
  <c r="N38" i="5"/>
  <c r="M38" i="5"/>
  <c r="AH38" i="5" s="1"/>
  <c r="L38" i="5"/>
  <c r="K38" i="5"/>
  <c r="J38" i="5"/>
  <c r="I38" i="5"/>
  <c r="H38" i="5"/>
  <c r="G38" i="5"/>
  <c r="F38" i="5"/>
  <c r="E38" i="5"/>
  <c r="D38" i="5"/>
  <c r="C38" i="5"/>
  <c r="B38" i="5"/>
  <c r="AE37" i="5"/>
  <c r="AD37" i="5"/>
  <c r="AC37" i="5"/>
  <c r="AB37" i="5"/>
  <c r="AA37" i="5"/>
  <c r="AK37" i="5" s="1"/>
  <c r="Z37" i="5"/>
  <c r="Y37" i="5"/>
  <c r="X37" i="5"/>
  <c r="W37" i="5"/>
  <c r="V37" i="5"/>
  <c r="AJ37" i="5" s="1"/>
  <c r="U37" i="5"/>
  <c r="T37" i="5"/>
  <c r="S37" i="5"/>
  <c r="R37" i="5"/>
  <c r="Q37" i="5"/>
  <c r="AI37" i="5" s="1"/>
  <c r="P37" i="5"/>
  <c r="O37" i="5"/>
  <c r="N37" i="5"/>
  <c r="M37" i="5"/>
  <c r="L37" i="5"/>
  <c r="K37" i="5"/>
  <c r="J37" i="5"/>
  <c r="I37" i="5"/>
  <c r="H37" i="5"/>
  <c r="G37" i="5"/>
  <c r="AG37" i="5" s="1"/>
  <c r="F37" i="5"/>
  <c r="E37" i="5"/>
  <c r="D37" i="5"/>
  <c r="C37" i="5"/>
  <c r="B37" i="5"/>
  <c r="AE36" i="5"/>
  <c r="AD36" i="5"/>
  <c r="AC36" i="5"/>
  <c r="AK36" i="5" s="1"/>
  <c r="AB36" i="5"/>
  <c r="AA36" i="5"/>
  <c r="Z36" i="5"/>
  <c r="Y36" i="5"/>
  <c r="X36" i="5"/>
  <c r="W36" i="5"/>
  <c r="V36" i="5"/>
  <c r="U36" i="5"/>
  <c r="T36" i="5"/>
  <c r="S36" i="5"/>
  <c r="R36" i="5"/>
  <c r="AI36" i="5" s="1"/>
  <c r="Q36" i="5"/>
  <c r="P36" i="5"/>
  <c r="O36" i="5"/>
  <c r="N36" i="5"/>
  <c r="M36" i="5"/>
  <c r="AH36" i="5" s="1"/>
  <c r="L36" i="5"/>
  <c r="K36" i="5"/>
  <c r="J36" i="5"/>
  <c r="I36" i="5"/>
  <c r="H36" i="5"/>
  <c r="G36" i="5"/>
  <c r="AG36" i="5" s="1"/>
  <c r="F36" i="5"/>
  <c r="E36" i="5"/>
  <c r="D36" i="5"/>
  <c r="C36" i="5"/>
  <c r="B36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AI35" i="5" s="1"/>
  <c r="P35" i="5"/>
  <c r="O35" i="5"/>
  <c r="N35" i="5"/>
  <c r="M35" i="5"/>
  <c r="L35" i="5"/>
  <c r="AH35" i="5" s="1"/>
  <c r="K35" i="5"/>
  <c r="J35" i="5"/>
  <c r="I35" i="5"/>
  <c r="H35" i="5"/>
  <c r="G35" i="5"/>
  <c r="AG35" i="5" s="1"/>
  <c r="F35" i="5"/>
  <c r="E35" i="5"/>
  <c r="D35" i="5"/>
  <c r="C35" i="5"/>
  <c r="B35" i="5"/>
  <c r="AE34" i="5"/>
  <c r="AD34" i="5"/>
  <c r="AC34" i="5"/>
  <c r="AB34" i="5"/>
  <c r="AA34" i="5"/>
  <c r="AK34" i="5" s="1"/>
  <c r="Z34" i="5"/>
  <c r="Y34" i="5"/>
  <c r="X34" i="5"/>
  <c r="W34" i="5"/>
  <c r="V34" i="5"/>
  <c r="AJ34" i="5" s="1"/>
  <c r="U34" i="5"/>
  <c r="T34" i="5"/>
  <c r="S34" i="5"/>
  <c r="R34" i="5"/>
  <c r="AI34" i="5" s="1"/>
  <c r="Q34" i="5"/>
  <c r="P34" i="5"/>
  <c r="O34" i="5"/>
  <c r="N34" i="5"/>
  <c r="M34" i="5"/>
  <c r="AH34" i="5" s="1"/>
  <c r="L34" i="5"/>
  <c r="K34" i="5"/>
  <c r="J34" i="5"/>
  <c r="I34" i="5"/>
  <c r="H34" i="5"/>
  <c r="G34" i="5"/>
  <c r="AG34" i="5" s="1"/>
  <c r="F34" i="5"/>
  <c r="E34" i="5"/>
  <c r="D34" i="5"/>
  <c r="C34" i="5"/>
  <c r="B34" i="5"/>
  <c r="AG33" i="5"/>
  <c r="AE33" i="5"/>
  <c r="AD33" i="5"/>
  <c r="AC33" i="5"/>
  <c r="AB33" i="5"/>
  <c r="AA33" i="5"/>
  <c r="Z33" i="5"/>
  <c r="Y33" i="5"/>
  <c r="X33" i="5"/>
  <c r="W33" i="5"/>
  <c r="V33" i="5"/>
  <c r="AJ33" i="5" s="1"/>
  <c r="U33" i="5"/>
  <c r="T33" i="5"/>
  <c r="S33" i="5"/>
  <c r="R33" i="5"/>
  <c r="Q33" i="5"/>
  <c r="AI33" i="5" s="1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I32" i="5"/>
  <c r="AE32" i="5"/>
  <c r="AD32" i="5"/>
  <c r="AC32" i="5"/>
  <c r="AB32" i="5"/>
  <c r="AA32" i="5"/>
  <c r="AK32" i="5" s="1"/>
  <c r="Z32" i="5"/>
  <c r="Y32" i="5"/>
  <c r="X32" i="5"/>
  <c r="W32" i="5"/>
  <c r="V32" i="5"/>
  <c r="AJ32" i="5" s="1"/>
  <c r="U32" i="5"/>
  <c r="T32" i="5"/>
  <c r="S32" i="5"/>
  <c r="R32" i="5"/>
  <c r="Q32" i="5"/>
  <c r="P32" i="5"/>
  <c r="O32" i="5"/>
  <c r="AH32" i="5" s="1"/>
  <c r="N32" i="5"/>
  <c r="M32" i="5"/>
  <c r="L32" i="5"/>
  <c r="K32" i="5"/>
  <c r="J32" i="5"/>
  <c r="I32" i="5"/>
  <c r="H32" i="5"/>
  <c r="G32" i="5"/>
  <c r="AG32" i="5" s="1"/>
  <c r="F32" i="5"/>
  <c r="E32" i="5"/>
  <c r="D32" i="5"/>
  <c r="C32" i="5"/>
  <c r="B32" i="5"/>
  <c r="AF32" i="5" s="1"/>
  <c r="AE31" i="5"/>
  <c r="AD31" i="5"/>
  <c r="AC31" i="5"/>
  <c r="AB31" i="5"/>
  <c r="AA31" i="5"/>
  <c r="Z31" i="5"/>
  <c r="Y31" i="5"/>
  <c r="X31" i="5"/>
  <c r="W31" i="5"/>
  <c r="V31" i="5"/>
  <c r="AJ31" i="5" s="1"/>
  <c r="U31" i="5"/>
  <c r="T31" i="5"/>
  <c r="S31" i="5"/>
  <c r="R31" i="5"/>
  <c r="Q31" i="5"/>
  <c r="AI31" i="5" s="1"/>
  <c r="P31" i="5"/>
  <c r="O31" i="5"/>
  <c r="N31" i="5"/>
  <c r="M31" i="5"/>
  <c r="L31" i="5"/>
  <c r="K31" i="5"/>
  <c r="J31" i="5"/>
  <c r="I31" i="5"/>
  <c r="H31" i="5"/>
  <c r="G31" i="5"/>
  <c r="AG31" i="5" s="1"/>
  <c r="F31" i="5"/>
  <c r="E31" i="5"/>
  <c r="D31" i="5"/>
  <c r="C31" i="5"/>
  <c r="B31" i="5"/>
  <c r="AE30" i="5"/>
  <c r="AK30" i="5" s="1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AI30" i="5" s="1"/>
  <c r="Q30" i="5"/>
  <c r="P30" i="5"/>
  <c r="O30" i="5"/>
  <c r="AH30" i="5" s="1"/>
  <c r="N30" i="5"/>
  <c r="M30" i="5"/>
  <c r="L30" i="5"/>
  <c r="K30" i="5"/>
  <c r="J30" i="5"/>
  <c r="I30" i="5"/>
  <c r="H30" i="5"/>
  <c r="G30" i="5"/>
  <c r="AG30" i="5" s="1"/>
  <c r="F30" i="5"/>
  <c r="E30" i="5"/>
  <c r="D30" i="5"/>
  <c r="C30" i="5"/>
  <c r="B30" i="5"/>
  <c r="AF30" i="5" s="1"/>
  <c r="AH29" i="5"/>
  <c r="AE29" i="5"/>
  <c r="AD29" i="5"/>
  <c r="AC29" i="5"/>
  <c r="AB29" i="5"/>
  <c r="AA29" i="5"/>
  <c r="AK29" i="5" s="1"/>
  <c r="Z29" i="5"/>
  <c r="AJ29" i="5" s="1"/>
  <c r="Y29" i="5"/>
  <c r="X29" i="5"/>
  <c r="W29" i="5"/>
  <c r="V29" i="5"/>
  <c r="U29" i="5"/>
  <c r="T29" i="5"/>
  <c r="S29" i="5"/>
  <c r="R29" i="5"/>
  <c r="AI29" i="5" s="1"/>
  <c r="Q29" i="5"/>
  <c r="P29" i="5"/>
  <c r="O29" i="5"/>
  <c r="N29" i="5"/>
  <c r="M29" i="5"/>
  <c r="L29" i="5"/>
  <c r="K29" i="5"/>
  <c r="J29" i="5"/>
  <c r="I29" i="5"/>
  <c r="H29" i="5"/>
  <c r="G29" i="5"/>
  <c r="AG29" i="5" s="1"/>
  <c r="F29" i="5"/>
  <c r="E29" i="5"/>
  <c r="D29" i="5"/>
  <c r="C29" i="5"/>
  <c r="B29" i="5"/>
  <c r="AF29" i="5" s="1"/>
  <c r="AE28" i="5"/>
  <c r="AD28" i="5"/>
  <c r="AC28" i="5"/>
  <c r="AB28" i="5"/>
  <c r="AA28" i="5"/>
  <c r="AK28" i="5" s="1"/>
  <c r="Z28" i="5"/>
  <c r="Y28" i="5"/>
  <c r="X28" i="5"/>
  <c r="W28" i="5"/>
  <c r="V28" i="5"/>
  <c r="AJ28" i="5" s="1"/>
  <c r="U28" i="5"/>
  <c r="T28" i="5"/>
  <c r="S28" i="5"/>
  <c r="R28" i="5"/>
  <c r="AI28" i="5" s="1"/>
  <c r="Q28" i="5"/>
  <c r="P28" i="5"/>
  <c r="O28" i="5"/>
  <c r="N28" i="5"/>
  <c r="M28" i="5"/>
  <c r="AH28" i="5" s="1"/>
  <c r="L28" i="5"/>
  <c r="K28" i="5"/>
  <c r="J28" i="5"/>
  <c r="I28" i="5"/>
  <c r="H28" i="5"/>
  <c r="G28" i="5"/>
  <c r="AG28" i="5" s="1"/>
  <c r="F28" i="5"/>
  <c r="E28" i="5"/>
  <c r="AF28" i="5" s="1"/>
  <c r="D28" i="5"/>
  <c r="C28" i="5"/>
  <c r="B28" i="5"/>
  <c r="AH27" i="5"/>
  <c r="AE27" i="5"/>
  <c r="AD27" i="5"/>
  <c r="AC27" i="5"/>
  <c r="AB27" i="5"/>
  <c r="AA27" i="5"/>
  <c r="AK27" i="5" s="1"/>
  <c r="Z27" i="5"/>
  <c r="Y27" i="5"/>
  <c r="X27" i="5"/>
  <c r="W27" i="5"/>
  <c r="V27" i="5"/>
  <c r="AJ27" i="5" s="1"/>
  <c r="U27" i="5"/>
  <c r="T27" i="5"/>
  <c r="S27" i="5"/>
  <c r="R27" i="5"/>
  <c r="AI27" i="5" s="1"/>
  <c r="Q27" i="5"/>
  <c r="P27" i="5"/>
  <c r="O27" i="5"/>
  <c r="N27" i="5"/>
  <c r="M27" i="5"/>
  <c r="L27" i="5"/>
  <c r="K27" i="5"/>
  <c r="J27" i="5"/>
  <c r="I27" i="5"/>
  <c r="H27" i="5"/>
  <c r="AG27" i="5" s="1"/>
  <c r="G27" i="5"/>
  <c r="F27" i="5"/>
  <c r="E27" i="5"/>
  <c r="D27" i="5"/>
  <c r="C27" i="5"/>
  <c r="B27" i="5"/>
  <c r="AF27" i="5" s="1"/>
  <c r="AJ26" i="5"/>
  <c r="AE26" i="5"/>
  <c r="AD26" i="5"/>
  <c r="AC26" i="5"/>
  <c r="AB26" i="5"/>
  <c r="AA26" i="5"/>
  <c r="AK26" i="5" s="1"/>
  <c r="Z26" i="5"/>
  <c r="Y26" i="5"/>
  <c r="X26" i="5"/>
  <c r="W26" i="5"/>
  <c r="V26" i="5"/>
  <c r="U26" i="5"/>
  <c r="T26" i="5"/>
  <c r="S26" i="5"/>
  <c r="R26" i="5"/>
  <c r="AI26" i="5" s="1"/>
  <c r="Q26" i="5"/>
  <c r="P26" i="5"/>
  <c r="O26" i="5"/>
  <c r="N26" i="5"/>
  <c r="M26" i="5"/>
  <c r="L26" i="5"/>
  <c r="AH26" i="5" s="1"/>
  <c r="K26" i="5"/>
  <c r="J26" i="5"/>
  <c r="I26" i="5"/>
  <c r="H26" i="5"/>
  <c r="G26" i="5"/>
  <c r="F26" i="5"/>
  <c r="E26" i="5"/>
  <c r="D26" i="5"/>
  <c r="C26" i="5"/>
  <c r="AF26" i="5" s="1"/>
  <c r="B26" i="5"/>
  <c r="AF25" i="5"/>
  <c r="AE25" i="5"/>
  <c r="AD25" i="5"/>
  <c r="AC25" i="5"/>
  <c r="AB25" i="5"/>
  <c r="AA25" i="5"/>
  <c r="Z25" i="5"/>
  <c r="Y25" i="5"/>
  <c r="X25" i="5"/>
  <c r="W25" i="5"/>
  <c r="V25" i="5"/>
  <c r="AJ25" i="5" s="1"/>
  <c r="U25" i="5"/>
  <c r="T25" i="5"/>
  <c r="S25" i="5"/>
  <c r="R25" i="5"/>
  <c r="Q25" i="5"/>
  <c r="AI25" i="5" s="1"/>
  <c r="P25" i="5"/>
  <c r="O25" i="5"/>
  <c r="N25" i="5"/>
  <c r="M25" i="5"/>
  <c r="L25" i="5"/>
  <c r="AH25" i="5" s="1"/>
  <c r="K25" i="5"/>
  <c r="J25" i="5"/>
  <c r="I25" i="5"/>
  <c r="H25" i="5"/>
  <c r="AG25" i="5" s="1"/>
  <c r="G25" i="5"/>
  <c r="F25" i="5"/>
  <c r="E25" i="5"/>
  <c r="D25" i="5"/>
  <c r="C25" i="5"/>
  <c r="B25" i="5"/>
  <c r="AJ24" i="5"/>
  <c r="AE24" i="5"/>
  <c r="AD24" i="5"/>
  <c r="AC24" i="5"/>
  <c r="AB24" i="5"/>
  <c r="AA24" i="5"/>
  <c r="AK24" i="5" s="1"/>
  <c r="Z24" i="5"/>
  <c r="Y24" i="5"/>
  <c r="X24" i="5"/>
  <c r="W24" i="5"/>
  <c r="V24" i="5"/>
  <c r="U24" i="5"/>
  <c r="T24" i="5"/>
  <c r="S24" i="5"/>
  <c r="R24" i="5"/>
  <c r="AI24" i="5" s="1"/>
  <c r="Q24" i="5"/>
  <c r="P24" i="5"/>
  <c r="O24" i="5"/>
  <c r="N24" i="5"/>
  <c r="M24" i="5"/>
  <c r="L24" i="5"/>
  <c r="AH24" i="5" s="1"/>
  <c r="K24" i="5"/>
  <c r="J24" i="5"/>
  <c r="I24" i="5"/>
  <c r="H24" i="5"/>
  <c r="G24" i="5"/>
  <c r="F24" i="5"/>
  <c r="E24" i="5"/>
  <c r="D24" i="5"/>
  <c r="C24" i="5"/>
  <c r="B24" i="5"/>
  <c r="AF24" i="5" s="1"/>
  <c r="AE23" i="5"/>
  <c r="AD23" i="5"/>
  <c r="AC23" i="5"/>
  <c r="AB23" i="5"/>
  <c r="AA23" i="5"/>
  <c r="Z23" i="5"/>
  <c r="Y23" i="5"/>
  <c r="X23" i="5"/>
  <c r="W23" i="5"/>
  <c r="V23" i="5"/>
  <c r="AJ23" i="5" s="1"/>
  <c r="U23" i="5"/>
  <c r="T23" i="5"/>
  <c r="S23" i="5"/>
  <c r="R23" i="5"/>
  <c r="Q23" i="5"/>
  <c r="AI23" i="5" s="1"/>
  <c r="P23" i="5"/>
  <c r="O23" i="5"/>
  <c r="N23" i="5"/>
  <c r="M23" i="5"/>
  <c r="L23" i="5"/>
  <c r="AH23" i="5" s="1"/>
  <c r="K23" i="5"/>
  <c r="J23" i="5"/>
  <c r="I23" i="5"/>
  <c r="H23" i="5"/>
  <c r="G23" i="5"/>
  <c r="AG23" i="5" s="1"/>
  <c r="F23" i="5"/>
  <c r="E23" i="5"/>
  <c r="D23" i="5"/>
  <c r="C23" i="5"/>
  <c r="B23" i="5"/>
  <c r="AF23" i="5" s="1"/>
  <c r="AH22" i="5"/>
  <c r="AE22" i="5"/>
  <c r="AD22" i="5"/>
  <c r="AC22" i="5"/>
  <c r="AB22" i="5"/>
  <c r="AA22" i="5"/>
  <c r="AK22" i="5" s="1"/>
  <c r="Z22" i="5"/>
  <c r="Y22" i="5"/>
  <c r="X22" i="5"/>
  <c r="W22" i="5"/>
  <c r="AJ22" i="5" s="1"/>
  <c r="V22" i="5"/>
  <c r="U22" i="5"/>
  <c r="T22" i="5"/>
  <c r="S22" i="5"/>
  <c r="R22" i="5"/>
  <c r="AI22" i="5" s="1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F22" i="5" s="1"/>
  <c r="AJ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AI21" i="5" s="1"/>
  <c r="Q21" i="5"/>
  <c r="P21" i="5"/>
  <c r="O21" i="5"/>
  <c r="N21" i="5"/>
  <c r="M21" i="5"/>
  <c r="L21" i="5"/>
  <c r="AH21" i="5" s="1"/>
  <c r="K21" i="5"/>
  <c r="J21" i="5"/>
  <c r="I21" i="5"/>
  <c r="H21" i="5"/>
  <c r="G21" i="5"/>
  <c r="AG21" i="5" s="1"/>
  <c r="F21" i="5"/>
  <c r="E21" i="5"/>
  <c r="D21" i="5"/>
  <c r="C21" i="5"/>
  <c r="B21" i="5"/>
  <c r="AF21" i="5" s="1"/>
  <c r="AE20" i="5"/>
  <c r="AD20" i="5"/>
  <c r="AC20" i="5"/>
  <c r="AB20" i="5"/>
  <c r="AA20" i="5"/>
  <c r="AK20" i="5" s="1"/>
  <c r="Z20" i="5"/>
  <c r="Y20" i="5"/>
  <c r="X20" i="5"/>
  <c r="W20" i="5"/>
  <c r="V20" i="5"/>
  <c r="AJ20" i="5" s="1"/>
  <c r="U20" i="5"/>
  <c r="T20" i="5"/>
  <c r="S20" i="5"/>
  <c r="R20" i="5"/>
  <c r="AI20" i="5" s="1"/>
  <c r="Q20" i="5"/>
  <c r="P20" i="5"/>
  <c r="O20" i="5"/>
  <c r="N20" i="5"/>
  <c r="M20" i="5"/>
  <c r="AH20" i="5" s="1"/>
  <c r="L20" i="5"/>
  <c r="K20" i="5"/>
  <c r="J20" i="5"/>
  <c r="I20" i="5"/>
  <c r="H20" i="5"/>
  <c r="G20" i="5"/>
  <c r="AG20" i="5" s="1"/>
  <c r="F20" i="5"/>
  <c r="E20" i="5"/>
  <c r="AF20" i="5" s="1"/>
  <c r="D20" i="5"/>
  <c r="C20" i="5"/>
  <c r="B20" i="5"/>
  <c r="AH19" i="5"/>
  <c r="AE19" i="5"/>
  <c r="AD19" i="5"/>
  <c r="AC19" i="5"/>
  <c r="AB19" i="5"/>
  <c r="AA19" i="5"/>
  <c r="AK19" i="5" s="1"/>
  <c r="Z19" i="5"/>
  <c r="Y19" i="5"/>
  <c r="X19" i="5"/>
  <c r="W19" i="5"/>
  <c r="V19" i="5"/>
  <c r="AJ19" i="5" s="1"/>
  <c r="U19" i="5"/>
  <c r="T19" i="5"/>
  <c r="S19" i="5"/>
  <c r="R19" i="5"/>
  <c r="AI19" i="5" s="1"/>
  <c r="Q19" i="5"/>
  <c r="P19" i="5"/>
  <c r="O19" i="5"/>
  <c r="N19" i="5"/>
  <c r="M19" i="5"/>
  <c r="L19" i="5"/>
  <c r="K19" i="5"/>
  <c r="J19" i="5"/>
  <c r="I19" i="5"/>
  <c r="H19" i="5"/>
  <c r="AG19" i="5" s="1"/>
  <c r="G19" i="5"/>
  <c r="F19" i="5"/>
  <c r="E19" i="5"/>
  <c r="D19" i="5"/>
  <c r="C19" i="5"/>
  <c r="B19" i="5"/>
  <c r="AF19" i="5" s="1"/>
  <c r="AE18" i="5"/>
  <c r="AD18" i="5"/>
  <c r="AC18" i="5"/>
  <c r="AB18" i="5"/>
  <c r="AA18" i="5"/>
  <c r="AK18" i="5" s="1"/>
  <c r="Z18" i="5"/>
  <c r="Y18" i="5"/>
  <c r="X18" i="5"/>
  <c r="W18" i="5"/>
  <c r="V18" i="5"/>
  <c r="AJ18" i="5" s="1"/>
  <c r="U18" i="5"/>
  <c r="T18" i="5"/>
  <c r="S18" i="5"/>
  <c r="R18" i="5"/>
  <c r="AI18" i="5" s="1"/>
  <c r="Q18" i="5"/>
  <c r="P18" i="5"/>
  <c r="O18" i="5"/>
  <c r="N18" i="5"/>
  <c r="M18" i="5"/>
  <c r="L18" i="5"/>
  <c r="AH18" i="5" s="1"/>
  <c r="K18" i="5"/>
  <c r="J18" i="5"/>
  <c r="I18" i="5"/>
  <c r="H18" i="5"/>
  <c r="G18" i="5"/>
  <c r="F18" i="5"/>
  <c r="E18" i="5"/>
  <c r="D18" i="5"/>
  <c r="C18" i="5"/>
  <c r="AF18" i="5" s="1"/>
  <c r="B18" i="5"/>
  <c r="AF17" i="5"/>
  <c r="AE17" i="5"/>
  <c r="AD17" i="5"/>
  <c r="AC17" i="5"/>
  <c r="AB17" i="5"/>
  <c r="AA17" i="5"/>
  <c r="Z17" i="5"/>
  <c r="Y17" i="5"/>
  <c r="X17" i="5"/>
  <c r="W17" i="5"/>
  <c r="V17" i="5"/>
  <c r="AJ17" i="5" s="1"/>
  <c r="U17" i="5"/>
  <c r="T17" i="5"/>
  <c r="S17" i="5"/>
  <c r="R17" i="5"/>
  <c r="Q17" i="5"/>
  <c r="AI17" i="5" s="1"/>
  <c r="P17" i="5"/>
  <c r="O17" i="5"/>
  <c r="N17" i="5"/>
  <c r="M17" i="5"/>
  <c r="L17" i="5"/>
  <c r="AH17" i="5" s="1"/>
  <c r="K17" i="5"/>
  <c r="J17" i="5"/>
  <c r="I17" i="5"/>
  <c r="H17" i="5"/>
  <c r="AG17" i="5" s="1"/>
  <c r="G17" i="5"/>
  <c r="F17" i="5"/>
  <c r="E17" i="5"/>
  <c r="D17" i="5"/>
  <c r="C17" i="5"/>
  <c r="B17" i="5"/>
  <c r="AJ16" i="5"/>
  <c r="AE16" i="5"/>
  <c r="AD16" i="5"/>
  <c r="AC16" i="5"/>
  <c r="AB16" i="5"/>
  <c r="AA16" i="5"/>
  <c r="AK16" i="5" s="1"/>
  <c r="Z16" i="5"/>
  <c r="Y16" i="5"/>
  <c r="X16" i="5"/>
  <c r="W16" i="5"/>
  <c r="V16" i="5"/>
  <c r="U16" i="5"/>
  <c r="T16" i="5"/>
  <c r="S16" i="5"/>
  <c r="R16" i="5"/>
  <c r="AI16" i="5" s="1"/>
  <c r="Q16" i="5"/>
  <c r="P16" i="5"/>
  <c r="O16" i="5"/>
  <c r="N16" i="5"/>
  <c r="M16" i="5"/>
  <c r="L16" i="5"/>
  <c r="AH16" i="5" s="1"/>
  <c r="K16" i="5"/>
  <c r="J16" i="5"/>
  <c r="I16" i="5"/>
  <c r="H16" i="5"/>
  <c r="G16" i="5"/>
  <c r="F16" i="5"/>
  <c r="E16" i="5"/>
  <c r="D16" i="5"/>
  <c r="C16" i="5"/>
  <c r="B16" i="5"/>
  <c r="AF16" i="5" s="1"/>
  <c r="AE15" i="5"/>
  <c r="AD15" i="5"/>
  <c r="AC15" i="5"/>
  <c r="AB15" i="5"/>
  <c r="AA15" i="5"/>
  <c r="Z15" i="5"/>
  <c r="Y15" i="5"/>
  <c r="X15" i="5"/>
  <c r="W15" i="5"/>
  <c r="V15" i="5"/>
  <c r="AJ15" i="5" s="1"/>
  <c r="U15" i="5"/>
  <c r="T15" i="5"/>
  <c r="S15" i="5"/>
  <c r="R15" i="5"/>
  <c r="Q15" i="5"/>
  <c r="AI15" i="5" s="1"/>
  <c r="P15" i="5"/>
  <c r="O15" i="5"/>
  <c r="N15" i="5"/>
  <c r="M15" i="5"/>
  <c r="L15" i="5"/>
  <c r="AH15" i="5" s="1"/>
  <c r="K15" i="5"/>
  <c r="J15" i="5"/>
  <c r="I15" i="5"/>
  <c r="H15" i="5"/>
  <c r="G15" i="5"/>
  <c r="AG15" i="5" s="1"/>
  <c r="F15" i="5"/>
  <c r="E15" i="5"/>
  <c r="D15" i="5"/>
  <c r="C15" i="5"/>
  <c r="B15" i="5"/>
  <c r="AF15" i="5" s="1"/>
  <c r="AH14" i="5"/>
  <c r="AE14" i="5"/>
  <c r="AD14" i="5"/>
  <c r="AC14" i="5"/>
  <c r="AB14" i="5"/>
  <c r="AA14" i="5"/>
  <c r="AK14" i="5" s="1"/>
  <c r="Z14" i="5"/>
  <c r="Y14" i="5"/>
  <c r="X14" i="5"/>
  <c r="W14" i="5"/>
  <c r="AJ14" i="5" s="1"/>
  <c r="V14" i="5"/>
  <c r="U14" i="5"/>
  <c r="T14" i="5"/>
  <c r="S14" i="5"/>
  <c r="R14" i="5"/>
  <c r="AI14" i="5" s="1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F14" i="5" s="1"/>
  <c r="AJ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AI13" i="5" s="1"/>
  <c r="Q13" i="5"/>
  <c r="P13" i="5"/>
  <c r="O13" i="5"/>
  <c r="N13" i="5"/>
  <c r="M13" i="5"/>
  <c r="L13" i="5"/>
  <c r="AH13" i="5" s="1"/>
  <c r="K13" i="5"/>
  <c r="J13" i="5"/>
  <c r="I13" i="5"/>
  <c r="H13" i="5"/>
  <c r="G13" i="5"/>
  <c r="AG13" i="5" s="1"/>
  <c r="F13" i="5"/>
  <c r="E13" i="5"/>
  <c r="D13" i="5"/>
  <c r="C13" i="5"/>
  <c r="B13" i="5"/>
  <c r="AF13" i="5" s="1"/>
  <c r="AE12" i="5"/>
  <c r="AD12" i="5"/>
  <c r="AC12" i="5"/>
  <c r="AB12" i="5"/>
  <c r="AA12" i="5"/>
  <c r="AK12" i="5" s="1"/>
  <c r="Z12" i="5"/>
  <c r="Y12" i="5"/>
  <c r="X12" i="5"/>
  <c r="W12" i="5"/>
  <c r="V12" i="5"/>
  <c r="AJ12" i="5" s="1"/>
  <c r="U12" i="5"/>
  <c r="T12" i="5"/>
  <c r="S12" i="5"/>
  <c r="R12" i="5"/>
  <c r="Q12" i="5"/>
  <c r="AI12" i="5" s="1"/>
  <c r="P12" i="5"/>
  <c r="O12" i="5"/>
  <c r="N12" i="5"/>
  <c r="M12" i="5"/>
  <c r="AH12" i="5" s="1"/>
  <c r="L12" i="5"/>
  <c r="K12" i="5"/>
  <c r="J12" i="5"/>
  <c r="I12" i="5"/>
  <c r="H12" i="5"/>
  <c r="G12" i="5"/>
  <c r="AG12" i="5" s="1"/>
  <c r="F12" i="5"/>
  <c r="E12" i="5"/>
  <c r="AF12" i="5" s="1"/>
  <c r="D12" i="5"/>
  <c r="C12" i="5"/>
  <c r="B12" i="5"/>
  <c r="AE11" i="5"/>
  <c r="AD11" i="5"/>
  <c r="AC11" i="5"/>
  <c r="AB11" i="5"/>
  <c r="AA11" i="5"/>
  <c r="AK11" i="5" s="1"/>
  <c r="Z11" i="5"/>
  <c r="Y11" i="5"/>
  <c r="AJ11" i="5" s="1"/>
  <c r="X11" i="5"/>
  <c r="W11" i="5"/>
  <c r="V11" i="5"/>
  <c r="U11" i="5"/>
  <c r="T11" i="5"/>
  <c r="S11" i="5"/>
  <c r="AI11" i="5" s="1"/>
  <c r="R11" i="5"/>
  <c r="Q11" i="5"/>
  <c r="P11" i="5"/>
  <c r="O11" i="5"/>
  <c r="N11" i="5"/>
  <c r="M11" i="5"/>
  <c r="L11" i="5"/>
  <c r="AH11" i="5" s="1"/>
  <c r="K11" i="5"/>
  <c r="J11" i="5"/>
  <c r="I11" i="5"/>
  <c r="AG11" i="5" s="1"/>
  <c r="H11" i="5"/>
  <c r="G11" i="5"/>
  <c r="F11" i="5"/>
  <c r="E11" i="5"/>
  <c r="D11" i="5"/>
  <c r="C11" i="5"/>
  <c r="B11" i="5"/>
  <c r="AF11" i="5" s="1"/>
  <c r="AE10" i="5"/>
  <c r="AD10" i="5"/>
  <c r="AC10" i="5"/>
  <c r="AK10" i="5" s="1"/>
  <c r="AB10" i="5"/>
  <c r="AA10" i="5"/>
  <c r="Z10" i="5"/>
  <c r="Y10" i="5"/>
  <c r="X10" i="5"/>
  <c r="W10" i="5"/>
  <c r="V10" i="5"/>
  <c r="AJ10" i="5" s="1"/>
  <c r="U10" i="5"/>
  <c r="T10" i="5"/>
  <c r="S10" i="5"/>
  <c r="R10" i="5"/>
  <c r="Q10" i="5"/>
  <c r="AI10" i="5" s="1"/>
  <c r="P10" i="5"/>
  <c r="O10" i="5"/>
  <c r="N10" i="5"/>
  <c r="M10" i="5"/>
  <c r="AH10" i="5" s="1"/>
  <c r="L10" i="5"/>
  <c r="K10" i="5"/>
  <c r="J10" i="5"/>
  <c r="I10" i="5"/>
  <c r="H10" i="5"/>
  <c r="G10" i="5"/>
  <c r="AG10" i="5" s="1"/>
  <c r="F10" i="5"/>
  <c r="E10" i="5"/>
  <c r="AF10" i="5" s="1"/>
  <c r="D10" i="5"/>
  <c r="C10" i="5"/>
  <c r="B10" i="5"/>
  <c r="AE9" i="5"/>
  <c r="AD9" i="5"/>
  <c r="AC9" i="5"/>
  <c r="AB9" i="5"/>
  <c r="AA9" i="5"/>
  <c r="AK9" i="5" s="1"/>
  <c r="Z9" i="5"/>
  <c r="Y9" i="5"/>
  <c r="AJ9" i="5" s="1"/>
  <c r="X9" i="5"/>
  <c r="W9" i="5"/>
  <c r="V9" i="5"/>
  <c r="U9" i="5"/>
  <c r="T9" i="5"/>
  <c r="S9" i="5"/>
  <c r="AI9" i="5" s="1"/>
  <c r="R9" i="5"/>
  <c r="Q9" i="5"/>
  <c r="P9" i="5"/>
  <c r="O9" i="5"/>
  <c r="N9" i="5"/>
  <c r="M9" i="5"/>
  <c r="L9" i="5"/>
  <c r="AH9" i="5" s="1"/>
  <c r="K9" i="5"/>
  <c r="J9" i="5"/>
  <c r="I9" i="5"/>
  <c r="AG9" i="5" s="1"/>
  <c r="H9" i="5"/>
  <c r="G9" i="5"/>
  <c r="F9" i="5"/>
  <c r="E9" i="5"/>
  <c r="D9" i="5"/>
  <c r="C9" i="5"/>
  <c r="B9" i="5"/>
  <c r="AF9" i="5" s="1"/>
  <c r="AE8" i="5"/>
  <c r="AD8" i="5"/>
  <c r="AC8" i="5"/>
  <c r="AK8" i="5" s="1"/>
  <c r="AB8" i="5"/>
  <c r="AA8" i="5"/>
  <c r="Z8" i="5"/>
  <c r="Y8" i="5"/>
  <c r="X8" i="5"/>
  <c r="W8" i="5"/>
  <c r="V8" i="5"/>
  <c r="AJ8" i="5" s="1"/>
  <c r="U8" i="5"/>
  <c r="T8" i="5"/>
  <c r="S8" i="5"/>
  <c r="R8" i="5"/>
  <c r="Q8" i="5"/>
  <c r="AI8" i="5" s="1"/>
  <c r="P8" i="5"/>
  <c r="O8" i="5"/>
  <c r="N8" i="5"/>
  <c r="M8" i="5"/>
  <c r="AH8" i="5" s="1"/>
  <c r="L8" i="5"/>
  <c r="K8" i="5"/>
  <c r="J8" i="5"/>
  <c r="I8" i="5"/>
  <c r="H8" i="5"/>
  <c r="G8" i="5"/>
  <c r="AG8" i="5" s="1"/>
  <c r="F8" i="5"/>
  <c r="E8" i="5"/>
  <c r="AF8" i="5" s="1"/>
  <c r="D8" i="5"/>
  <c r="C8" i="5"/>
  <c r="B8" i="5"/>
  <c r="AE7" i="5"/>
  <c r="AD7" i="5"/>
  <c r="AC7" i="5"/>
  <c r="AB7" i="5"/>
  <c r="AA7" i="5"/>
  <c r="AK7" i="5" s="1"/>
  <c r="Z7" i="5"/>
  <c r="Y7" i="5"/>
  <c r="AJ7" i="5" s="1"/>
  <c r="X7" i="5"/>
  <c r="W7" i="5"/>
  <c r="V7" i="5"/>
  <c r="U7" i="5"/>
  <c r="T7" i="5"/>
  <c r="S7" i="5"/>
  <c r="AI7" i="5" s="1"/>
  <c r="R7" i="5"/>
  <c r="Q7" i="5"/>
  <c r="P7" i="5"/>
  <c r="O7" i="5"/>
  <c r="N7" i="5"/>
  <c r="M7" i="5"/>
  <c r="L7" i="5"/>
  <c r="AH7" i="5" s="1"/>
  <c r="K7" i="5"/>
  <c r="J7" i="5"/>
  <c r="I7" i="5"/>
  <c r="AG7" i="5" s="1"/>
  <c r="H7" i="5"/>
  <c r="G7" i="5"/>
  <c r="F7" i="5"/>
  <c r="E7" i="5"/>
  <c r="D7" i="5"/>
  <c r="C7" i="5"/>
  <c r="B7" i="5"/>
  <c r="AF7" i="5" s="1"/>
  <c r="AE6" i="5"/>
  <c r="AD6" i="5"/>
  <c r="AC6" i="5"/>
  <c r="AK6" i="5" s="1"/>
  <c r="AB6" i="5"/>
  <c r="AA6" i="5"/>
  <c r="Z6" i="5"/>
  <c r="Y6" i="5"/>
  <c r="X6" i="5"/>
  <c r="W6" i="5"/>
  <c r="V6" i="5"/>
  <c r="AJ6" i="5" s="1"/>
  <c r="U6" i="5"/>
  <c r="T6" i="5"/>
  <c r="S6" i="5"/>
  <c r="R6" i="5"/>
  <c r="Q6" i="5"/>
  <c r="AI6" i="5" s="1"/>
  <c r="P6" i="5"/>
  <c r="O6" i="5"/>
  <c r="N6" i="5"/>
  <c r="M6" i="5"/>
  <c r="AH6" i="5" s="1"/>
  <c r="L6" i="5"/>
  <c r="K6" i="5"/>
  <c r="J6" i="5"/>
  <c r="I6" i="5"/>
  <c r="H6" i="5"/>
  <c r="G6" i="5"/>
  <c r="AG6" i="5" s="1"/>
  <c r="F6" i="5"/>
  <c r="E6" i="5"/>
  <c r="AF6" i="5" s="1"/>
  <c r="D6" i="5"/>
  <c r="C6" i="5"/>
  <c r="B6" i="5"/>
  <c r="AE5" i="5"/>
  <c r="AD5" i="5"/>
  <c r="AC5" i="5"/>
  <c r="AB5" i="5"/>
  <c r="AA5" i="5"/>
  <c r="AK5" i="5" s="1"/>
  <c r="Z5" i="5"/>
  <c r="Y5" i="5"/>
  <c r="AJ5" i="5" s="1"/>
  <c r="X5" i="5"/>
  <c r="W5" i="5"/>
  <c r="V5" i="5"/>
  <c r="U5" i="5"/>
  <c r="T5" i="5"/>
  <c r="S5" i="5"/>
  <c r="AI5" i="5" s="1"/>
  <c r="R5" i="5"/>
  <c r="Q5" i="5"/>
  <c r="P5" i="5"/>
  <c r="O5" i="5"/>
  <c r="N5" i="5"/>
  <c r="M5" i="5"/>
  <c r="L5" i="5"/>
  <c r="AH5" i="5" s="1"/>
  <c r="K5" i="5"/>
  <c r="J5" i="5"/>
  <c r="I5" i="5"/>
  <c r="AG5" i="5" s="1"/>
  <c r="H5" i="5"/>
  <c r="G5" i="5"/>
  <c r="F5" i="5"/>
  <c r="E5" i="5"/>
  <c r="D5" i="5"/>
  <c r="C5" i="5"/>
  <c r="B5" i="5"/>
  <c r="AF5" i="5" s="1"/>
  <c r="AE4" i="5"/>
  <c r="AD4" i="5"/>
  <c r="AC4" i="5"/>
  <c r="AK4" i="5" s="1"/>
  <c r="AB4" i="5"/>
  <c r="AA4" i="5"/>
  <c r="Z4" i="5"/>
  <c r="Y4" i="5"/>
  <c r="X4" i="5"/>
  <c r="W4" i="5"/>
  <c r="V4" i="5"/>
  <c r="AJ4" i="5" s="1"/>
  <c r="U4" i="5"/>
  <c r="T4" i="5"/>
  <c r="S4" i="5"/>
  <c r="R4" i="5"/>
  <c r="Q4" i="5"/>
  <c r="AI4" i="5" s="1"/>
  <c r="P4" i="5"/>
  <c r="O4" i="5"/>
  <c r="N4" i="5"/>
  <c r="M4" i="5"/>
  <c r="AH4" i="5" s="1"/>
  <c r="L4" i="5"/>
  <c r="K4" i="5"/>
  <c r="J4" i="5"/>
  <c r="I4" i="5"/>
  <c r="H4" i="5"/>
  <c r="G4" i="5"/>
  <c r="AG4" i="5" s="1"/>
  <c r="F4" i="5"/>
  <c r="E4" i="5"/>
  <c r="AF4" i="5" s="1"/>
  <c r="D4" i="5"/>
  <c r="C4" i="5"/>
  <c r="B4" i="5"/>
  <c r="AE3" i="5"/>
  <c r="AD3" i="5"/>
  <c r="AC3" i="5"/>
  <c r="AB3" i="5"/>
  <c r="AA3" i="5"/>
  <c r="AK3" i="5" s="1"/>
  <c r="Z3" i="5"/>
  <c r="Y3" i="5"/>
  <c r="AJ3" i="5" s="1"/>
  <c r="X3" i="5"/>
  <c r="W3" i="5"/>
  <c r="V3" i="5"/>
  <c r="U3" i="5"/>
  <c r="T3" i="5"/>
  <c r="S3" i="5"/>
  <c r="R3" i="5"/>
  <c r="Q3" i="5"/>
  <c r="AI3" i="5" s="1"/>
  <c r="P3" i="5"/>
  <c r="O3" i="5"/>
  <c r="N3" i="5"/>
  <c r="M3" i="5"/>
  <c r="L3" i="5"/>
  <c r="AH3" i="5" s="1"/>
  <c r="K3" i="5"/>
  <c r="J3" i="5"/>
  <c r="I3" i="5"/>
  <c r="AG3" i="5" s="1"/>
  <c r="H3" i="5"/>
  <c r="G3" i="5"/>
  <c r="F3" i="5"/>
  <c r="E3" i="5"/>
  <c r="D3" i="5"/>
  <c r="C3" i="5"/>
  <c r="B3" i="5"/>
  <c r="AF3" i="5" s="1"/>
  <c r="AE2" i="5"/>
  <c r="AD2" i="5"/>
  <c r="AC2" i="5"/>
  <c r="AK2" i="5" s="1"/>
  <c r="AB2" i="5"/>
  <c r="AA2" i="5"/>
  <c r="Z2" i="5"/>
  <c r="Y2" i="5"/>
  <c r="X2" i="5"/>
  <c r="W2" i="5"/>
  <c r="V2" i="5"/>
  <c r="AJ2" i="5" s="1"/>
  <c r="U2" i="5"/>
  <c r="T2" i="5"/>
  <c r="S2" i="5"/>
  <c r="R2" i="5"/>
  <c r="Q2" i="5"/>
  <c r="AI2" i="5" s="1"/>
  <c r="P2" i="5"/>
  <c r="O2" i="5"/>
  <c r="N2" i="5"/>
  <c r="M2" i="5"/>
  <c r="AH2" i="5" s="1"/>
  <c r="L2" i="5"/>
  <c r="K2" i="5"/>
  <c r="J2" i="5"/>
  <c r="I2" i="5"/>
  <c r="H2" i="5"/>
  <c r="G2" i="5"/>
  <c r="AG2" i="5" s="1"/>
  <c r="F2" i="5"/>
  <c r="E2" i="5"/>
  <c r="AF2" i="5" s="1"/>
  <c r="D2" i="5"/>
  <c r="C2" i="5"/>
  <c r="B2" i="5"/>
  <c r="H102" i="1"/>
  <c r="G102" i="1"/>
  <c r="B102" i="1"/>
  <c r="K101" i="1"/>
  <c r="J101" i="1"/>
  <c r="I101" i="1"/>
  <c r="F101" i="1"/>
  <c r="K100" i="1"/>
  <c r="J100" i="1"/>
  <c r="I100" i="1"/>
  <c r="F100" i="1"/>
  <c r="K99" i="1"/>
  <c r="J99" i="1"/>
  <c r="I99" i="1"/>
  <c r="F99" i="1"/>
  <c r="K98" i="1"/>
  <c r="J98" i="1"/>
  <c r="I98" i="1"/>
  <c r="F98" i="1"/>
  <c r="K97" i="1"/>
  <c r="J97" i="1"/>
  <c r="I97" i="1"/>
  <c r="F97" i="1"/>
  <c r="K96" i="1"/>
  <c r="J96" i="1"/>
  <c r="I96" i="1"/>
  <c r="F96" i="1"/>
  <c r="K95" i="1"/>
  <c r="J95" i="1"/>
  <c r="I95" i="1"/>
  <c r="F95" i="1"/>
  <c r="K94" i="1"/>
  <c r="J94" i="1"/>
  <c r="I94" i="1"/>
  <c r="F94" i="1"/>
  <c r="K93" i="1"/>
  <c r="J93" i="1"/>
  <c r="I93" i="1"/>
  <c r="F93" i="1"/>
  <c r="K92" i="1"/>
  <c r="I92" i="1"/>
  <c r="J92" i="1" s="1"/>
  <c r="F92" i="1"/>
  <c r="K91" i="1"/>
  <c r="J91" i="1"/>
  <c r="I91" i="1"/>
  <c r="F91" i="1"/>
  <c r="K90" i="1"/>
  <c r="I90" i="1"/>
  <c r="J90" i="1" s="1"/>
  <c r="F90" i="1"/>
  <c r="K89" i="1"/>
  <c r="J89" i="1"/>
  <c r="I89" i="1"/>
  <c r="F89" i="1"/>
  <c r="K88" i="1"/>
  <c r="I88" i="1"/>
  <c r="J88" i="1" s="1"/>
  <c r="F88" i="1"/>
  <c r="K87" i="1"/>
  <c r="J87" i="1"/>
  <c r="I87" i="1"/>
  <c r="F87" i="1"/>
  <c r="K86" i="1"/>
  <c r="I86" i="1"/>
  <c r="J86" i="1" s="1"/>
  <c r="F86" i="1"/>
  <c r="K85" i="1"/>
  <c r="J85" i="1"/>
  <c r="I85" i="1"/>
  <c r="F85" i="1"/>
  <c r="K84" i="1"/>
  <c r="I84" i="1"/>
  <c r="J84" i="1" s="1"/>
  <c r="F84" i="1"/>
  <c r="K83" i="1"/>
  <c r="J83" i="1"/>
  <c r="I83" i="1"/>
  <c r="F83" i="1"/>
  <c r="K82" i="1"/>
  <c r="I82" i="1"/>
  <c r="J82" i="1" s="1"/>
  <c r="F82" i="1"/>
  <c r="K81" i="1"/>
  <c r="J81" i="1"/>
  <c r="I81" i="1"/>
  <c r="F81" i="1"/>
  <c r="K80" i="1"/>
  <c r="I80" i="1"/>
  <c r="J80" i="1" s="1"/>
  <c r="F80" i="1"/>
  <c r="K79" i="1"/>
  <c r="J79" i="1"/>
  <c r="I79" i="1"/>
  <c r="F79" i="1"/>
  <c r="K78" i="1"/>
  <c r="I78" i="1"/>
  <c r="J78" i="1" s="1"/>
  <c r="F78" i="1"/>
  <c r="K77" i="1"/>
  <c r="J77" i="1"/>
  <c r="I77" i="1"/>
  <c r="F77" i="1"/>
  <c r="K76" i="1"/>
  <c r="I76" i="1"/>
  <c r="J76" i="1" s="1"/>
  <c r="F76" i="1"/>
  <c r="K75" i="1"/>
  <c r="J75" i="1"/>
  <c r="I75" i="1"/>
  <c r="F75" i="1"/>
  <c r="K74" i="1"/>
  <c r="I74" i="1"/>
  <c r="J74" i="1" s="1"/>
  <c r="F74" i="1"/>
  <c r="K73" i="1"/>
  <c r="J73" i="1"/>
  <c r="I73" i="1"/>
  <c r="F73" i="1"/>
  <c r="K72" i="1"/>
  <c r="I72" i="1"/>
  <c r="J72" i="1" s="1"/>
  <c r="F72" i="1"/>
  <c r="K71" i="1"/>
  <c r="J71" i="1"/>
  <c r="I71" i="1"/>
  <c r="F71" i="1"/>
  <c r="K70" i="1"/>
  <c r="I70" i="1"/>
  <c r="J70" i="1" s="1"/>
  <c r="F70" i="1"/>
  <c r="K69" i="1"/>
  <c r="J69" i="1"/>
  <c r="I69" i="1"/>
  <c r="F69" i="1"/>
  <c r="K68" i="1"/>
  <c r="I68" i="1"/>
  <c r="J68" i="1" s="1"/>
  <c r="F68" i="1"/>
  <c r="K67" i="1"/>
  <c r="J67" i="1"/>
  <c r="I67" i="1"/>
  <c r="F67" i="1"/>
  <c r="K66" i="1"/>
  <c r="I66" i="1"/>
  <c r="J66" i="1" s="1"/>
  <c r="F66" i="1"/>
  <c r="K65" i="1"/>
  <c r="J65" i="1"/>
  <c r="I65" i="1"/>
  <c r="F65" i="1"/>
  <c r="K64" i="1"/>
  <c r="I64" i="1"/>
  <c r="J64" i="1" s="1"/>
  <c r="F64" i="1"/>
  <c r="K63" i="1"/>
  <c r="J63" i="1"/>
  <c r="I63" i="1"/>
  <c r="F63" i="1"/>
  <c r="K62" i="1"/>
  <c r="I62" i="1"/>
  <c r="J62" i="1" s="1"/>
  <c r="F62" i="1"/>
  <c r="K61" i="1"/>
  <c r="J61" i="1"/>
  <c r="I61" i="1"/>
  <c r="F61" i="1"/>
  <c r="K60" i="1"/>
  <c r="I60" i="1"/>
  <c r="J60" i="1" s="1"/>
  <c r="F60" i="1"/>
  <c r="K59" i="1"/>
  <c r="J59" i="1"/>
  <c r="I59" i="1"/>
  <c r="F59" i="1"/>
  <c r="K58" i="1"/>
  <c r="I58" i="1"/>
  <c r="J58" i="1" s="1"/>
  <c r="F58" i="1"/>
  <c r="K57" i="1"/>
  <c r="J57" i="1"/>
  <c r="I57" i="1"/>
  <c r="F57" i="1"/>
  <c r="K56" i="1"/>
  <c r="I56" i="1"/>
  <c r="J56" i="1" s="1"/>
  <c r="F56" i="1"/>
  <c r="K55" i="1"/>
  <c r="J55" i="1"/>
  <c r="I55" i="1"/>
  <c r="F55" i="1"/>
  <c r="K54" i="1"/>
  <c r="I54" i="1"/>
  <c r="J54" i="1" s="1"/>
  <c r="F54" i="1"/>
  <c r="K53" i="1"/>
  <c r="J53" i="1"/>
  <c r="I53" i="1"/>
  <c r="F53" i="1"/>
  <c r="K52" i="1"/>
  <c r="I52" i="1"/>
  <c r="J52" i="1" s="1"/>
  <c r="F52" i="1"/>
  <c r="K51" i="1"/>
  <c r="J51" i="1"/>
  <c r="I51" i="1"/>
  <c r="F51" i="1"/>
  <c r="K50" i="1"/>
  <c r="I50" i="1"/>
  <c r="J50" i="1" s="1"/>
  <c r="F50" i="1"/>
  <c r="K49" i="1"/>
  <c r="J49" i="1"/>
  <c r="I49" i="1"/>
  <c r="F49" i="1"/>
  <c r="K48" i="1"/>
  <c r="I48" i="1"/>
  <c r="J48" i="1" s="1"/>
  <c r="F48" i="1"/>
  <c r="K47" i="1"/>
  <c r="J47" i="1"/>
  <c r="I47" i="1"/>
  <c r="F47" i="1"/>
  <c r="K46" i="1"/>
  <c r="I46" i="1"/>
  <c r="J46" i="1" s="1"/>
  <c r="F46" i="1"/>
  <c r="K45" i="1"/>
  <c r="J45" i="1"/>
  <c r="I45" i="1"/>
  <c r="F45" i="1"/>
  <c r="K44" i="1"/>
  <c r="I44" i="1"/>
  <c r="J44" i="1" s="1"/>
  <c r="F44" i="1"/>
  <c r="K43" i="1"/>
  <c r="J43" i="1"/>
  <c r="I43" i="1"/>
  <c r="F43" i="1"/>
  <c r="K42" i="1"/>
  <c r="I42" i="1"/>
  <c r="J42" i="1" s="1"/>
  <c r="F42" i="1"/>
  <c r="K41" i="1"/>
  <c r="J41" i="1"/>
  <c r="I41" i="1"/>
  <c r="F41" i="1"/>
  <c r="K40" i="1"/>
  <c r="I40" i="1"/>
  <c r="J40" i="1" s="1"/>
  <c r="F40" i="1"/>
  <c r="K39" i="1"/>
  <c r="J39" i="1"/>
  <c r="I39" i="1"/>
  <c r="F39" i="1"/>
  <c r="K38" i="1"/>
  <c r="I38" i="1"/>
  <c r="J38" i="1" s="1"/>
  <c r="F38" i="1"/>
  <c r="K37" i="1"/>
  <c r="J37" i="1"/>
  <c r="I37" i="1"/>
  <c r="F37" i="1"/>
  <c r="K36" i="1"/>
  <c r="I36" i="1"/>
  <c r="J36" i="1" s="1"/>
  <c r="F36" i="1"/>
  <c r="K35" i="1"/>
  <c r="J35" i="1"/>
  <c r="I35" i="1"/>
  <c r="F35" i="1"/>
  <c r="K34" i="1"/>
  <c r="I34" i="1"/>
  <c r="J34" i="1" s="1"/>
  <c r="F34" i="1"/>
  <c r="K33" i="1"/>
  <c r="J33" i="1"/>
  <c r="I33" i="1"/>
  <c r="F33" i="1"/>
  <c r="K32" i="1"/>
  <c r="I32" i="1"/>
  <c r="J32" i="1" s="1"/>
  <c r="F32" i="1"/>
  <c r="K31" i="1"/>
  <c r="J31" i="1"/>
  <c r="I31" i="1"/>
  <c r="F31" i="1"/>
  <c r="K30" i="1"/>
  <c r="I30" i="1"/>
  <c r="J30" i="1" s="1"/>
  <c r="F30" i="1"/>
  <c r="K29" i="1"/>
  <c r="J29" i="1"/>
  <c r="I29" i="1"/>
  <c r="F29" i="1"/>
  <c r="K28" i="1"/>
  <c r="I28" i="1"/>
  <c r="J28" i="1" s="1"/>
  <c r="F28" i="1"/>
  <c r="K27" i="1"/>
  <c r="J27" i="1"/>
  <c r="I27" i="1"/>
  <c r="F27" i="1"/>
  <c r="K26" i="1"/>
  <c r="I26" i="1"/>
  <c r="J26" i="1" s="1"/>
  <c r="F26" i="1"/>
  <c r="K25" i="1"/>
  <c r="J25" i="1"/>
  <c r="I25" i="1"/>
  <c r="F25" i="1"/>
  <c r="K24" i="1"/>
  <c r="I24" i="1"/>
  <c r="J24" i="1" s="1"/>
  <c r="F24" i="1"/>
  <c r="K23" i="1"/>
  <c r="J23" i="1"/>
  <c r="I23" i="1"/>
  <c r="F23" i="1"/>
  <c r="K22" i="1"/>
  <c r="I22" i="1"/>
  <c r="J22" i="1" s="1"/>
  <c r="F22" i="1"/>
  <c r="K21" i="1"/>
  <c r="J21" i="1"/>
  <c r="I21" i="1"/>
  <c r="F21" i="1"/>
  <c r="K20" i="1"/>
  <c r="I20" i="1"/>
  <c r="J20" i="1" s="1"/>
  <c r="F20" i="1"/>
  <c r="K19" i="1"/>
  <c r="J19" i="1"/>
  <c r="I19" i="1"/>
  <c r="F19" i="1"/>
  <c r="K18" i="1"/>
  <c r="I18" i="1"/>
  <c r="J18" i="1" s="1"/>
  <c r="F18" i="1"/>
  <c r="K17" i="1"/>
  <c r="J17" i="1"/>
  <c r="I17" i="1"/>
  <c r="F17" i="1"/>
  <c r="K16" i="1"/>
  <c r="I16" i="1"/>
  <c r="J16" i="1" s="1"/>
  <c r="F16" i="1"/>
  <c r="K15" i="1"/>
  <c r="J15" i="1"/>
  <c r="I15" i="1"/>
  <c r="F15" i="1"/>
  <c r="K14" i="1"/>
  <c r="I14" i="1"/>
  <c r="J14" i="1" s="1"/>
  <c r="F14" i="1"/>
  <c r="K13" i="1"/>
  <c r="J13" i="1"/>
  <c r="I13" i="1"/>
  <c r="F13" i="1"/>
  <c r="K12" i="1"/>
  <c r="I12" i="1"/>
  <c r="J12" i="1" s="1"/>
  <c r="F12" i="1"/>
  <c r="K11" i="1"/>
  <c r="J11" i="1"/>
  <c r="I11" i="1"/>
  <c r="F11" i="1"/>
  <c r="K10" i="1"/>
  <c r="I10" i="1"/>
  <c r="J10" i="1" s="1"/>
  <c r="F10" i="1"/>
  <c r="K9" i="1"/>
  <c r="J9" i="1"/>
  <c r="I9" i="1"/>
  <c r="F9" i="1"/>
  <c r="K8" i="1"/>
  <c r="I8" i="1"/>
  <c r="J8" i="1" s="1"/>
  <c r="F8" i="1"/>
  <c r="K7" i="1"/>
  <c r="J7" i="1"/>
  <c r="I7" i="1"/>
  <c r="F7" i="1"/>
  <c r="K6" i="1"/>
  <c r="I6" i="1"/>
  <c r="J6" i="1" s="1"/>
  <c r="F6" i="1"/>
  <c r="K5" i="1"/>
  <c r="J5" i="1"/>
  <c r="I5" i="1"/>
  <c r="F5" i="1"/>
  <c r="K4" i="1"/>
  <c r="I4" i="1"/>
  <c r="J4" i="1" s="1"/>
  <c r="F4" i="1"/>
  <c r="K3" i="1"/>
  <c r="J3" i="1"/>
  <c r="I3" i="1"/>
  <c r="F3" i="1"/>
  <c r="K2" i="1"/>
  <c r="I2" i="1"/>
  <c r="F2" i="1"/>
  <c r="F64" i="4"/>
  <c r="E64" i="4"/>
  <c r="D64" i="4"/>
  <c r="C64" i="4"/>
  <c r="I64" i="4" s="1"/>
  <c r="F63" i="4"/>
  <c r="E63" i="4"/>
  <c r="D63" i="4"/>
  <c r="C63" i="4"/>
  <c r="I63" i="4" s="1"/>
  <c r="F62" i="4"/>
  <c r="E62" i="4"/>
  <c r="D62" i="4"/>
  <c r="C62" i="4"/>
  <c r="I62" i="4" s="1"/>
  <c r="F61" i="4"/>
  <c r="E61" i="4"/>
  <c r="D61" i="4"/>
  <c r="C61" i="4"/>
  <c r="I61" i="4" s="1"/>
  <c r="F60" i="4"/>
  <c r="E60" i="4"/>
  <c r="D60" i="4"/>
  <c r="C60" i="4"/>
  <c r="I60" i="4" s="1"/>
  <c r="F58" i="4"/>
  <c r="E58" i="4"/>
  <c r="D58" i="4"/>
  <c r="C58" i="4"/>
  <c r="I58" i="4" s="1"/>
  <c r="F57" i="4"/>
  <c r="E57" i="4"/>
  <c r="D57" i="4"/>
  <c r="C57" i="4"/>
  <c r="I57" i="4" s="1"/>
  <c r="F56" i="4"/>
  <c r="E56" i="4"/>
  <c r="D56" i="4"/>
  <c r="C56" i="4"/>
  <c r="I56" i="4" s="1"/>
  <c r="F55" i="4"/>
  <c r="E55" i="4"/>
  <c r="D55" i="4"/>
  <c r="C55" i="4"/>
  <c r="I55" i="4" s="1"/>
  <c r="F54" i="4"/>
  <c r="E54" i="4"/>
  <c r="D54" i="4"/>
  <c r="C54" i="4"/>
  <c r="I54" i="4" s="1"/>
  <c r="F52" i="4"/>
  <c r="E52" i="4"/>
  <c r="D52" i="4"/>
  <c r="C52" i="4"/>
  <c r="I52" i="4" s="1"/>
  <c r="F51" i="4"/>
  <c r="E51" i="4"/>
  <c r="D51" i="4"/>
  <c r="C51" i="4"/>
  <c r="I51" i="4" s="1"/>
  <c r="F50" i="4"/>
  <c r="E50" i="4"/>
  <c r="D50" i="4"/>
  <c r="C50" i="4"/>
  <c r="I50" i="4" s="1"/>
  <c r="F49" i="4"/>
  <c r="E49" i="4"/>
  <c r="D49" i="4"/>
  <c r="C49" i="4"/>
  <c r="I49" i="4" s="1"/>
  <c r="F48" i="4"/>
  <c r="E48" i="4"/>
  <c r="D48" i="4"/>
  <c r="C48" i="4"/>
  <c r="I48" i="4" s="1"/>
  <c r="J43" i="4"/>
  <c r="G42" i="4"/>
  <c r="F42" i="4"/>
  <c r="E42" i="4"/>
  <c r="H42" i="4" s="1"/>
  <c r="D42" i="4"/>
  <c r="G41" i="4"/>
  <c r="E41" i="4"/>
  <c r="D41" i="4"/>
  <c r="E40" i="4"/>
  <c r="D40" i="4"/>
  <c r="G40" i="4" s="1"/>
  <c r="G39" i="4"/>
  <c r="F39" i="4"/>
  <c r="E39" i="4"/>
  <c r="D39" i="4"/>
  <c r="E38" i="4"/>
  <c r="E43" i="4" s="1"/>
  <c r="D38" i="4"/>
  <c r="F38" i="4" s="1"/>
  <c r="J36" i="4"/>
  <c r="E35" i="4"/>
  <c r="H35" i="4" s="1"/>
  <c r="D35" i="4"/>
  <c r="H34" i="4"/>
  <c r="G34" i="4"/>
  <c r="F34" i="4"/>
  <c r="E34" i="4"/>
  <c r="D34" i="4"/>
  <c r="E33" i="4"/>
  <c r="F33" i="4" s="1"/>
  <c r="D33" i="4"/>
  <c r="H32" i="4"/>
  <c r="E32" i="4"/>
  <c r="G32" i="4" s="1"/>
  <c r="D32" i="4"/>
  <c r="E31" i="4"/>
  <c r="H31" i="4" s="1"/>
  <c r="D31" i="4"/>
  <c r="J29" i="4"/>
  <c r="E28" i="4"/>
  <c r="H28" i="4" s="1"/>
  <c r="D28" i="4"/>
  <c r="E27" i="4"/>
  <c r="H27" i="4" s="1"/>
  <c r="D27" i="4"/>
  <c r="F27" i="4" s="1"/>
  <c r="H26" i="4"/>
  <c r="G26" i="4"/>
  <c r="E26" i="4"/>
  <c r="F26" i="4" s="1"/>
  <c r="D26" i="4"/>
  <c r="E25" i="4"/>
  <c r="G25" i="4" s="1"/>
  <c r="D25" i="4"/>
  <c r="E24" i="4"/>
  <c r="H24" i="4" s="1"/>
  <c r="D24" i="4"/>
  <c r="J22" i="4"/>
  <c r="E21" i="4"/>
  <c r="H21" i="4" s="1"/>
  <c r="D21" i="4"/>
  <c r="H20" i="4"/>
  <c r="G20" i="4"/>
  <c r="F20" i="4"/>
  <c r="E20" i="4"/>
  <c r="D20" i="4"/>
  <c r="E19" i="4"/>
  <c r="F19" i="4" s="1"/>
  <c r="D19" i="4"/>
  <c r="H18" i="4"/>
  <c r="E18" i="4"/>
  <c r="G18" i="4" s="1"/>
  <c r="D18" i="4"/>
  <c r="E17" i="4"/>
  <c r="H17" i="4" s="1"/>
  <c r="D17" i="4"/>
  <c r="J15" i="4"/>
  <c r="E14" i="4"/>
  <c r="H14" i="4" s="1"/>
  <c r="D14" i="4"/>
  <c r="E13" i="4"/>
  <c r="H13" i="4" s="1"/>
  <c r="D13" i="4"/>
  <c r="F13" i="4" s="1"/>
  <c r="H12" i="4"/>
  <c r="G12" i="4"/>
  <c r="E12" i="4"/>
  <c r="F12" i="4" s="1"/>
  <c r="D12" i="4"/>
  <c r="E11" i="4"/>
  <c r="G11" i="4" s="1"/>
  <c r="D11" i="4"/>
  <c r="E10" i="4"/>
  <c r="H10" i="4" s="1"/>
  <c r="D10" i="4"/>
  <c r="J8" i="4"/>
  <c r="E7" i="4"/>
  <c r="H7" i="4" s="1"/>
  <c r="D7" i="4"/>
  <c r="H6" i="4"/>
  <c r="G6" i="4"/>
  <c r="F6" i="4"/>
  <c r="E6" i="4"/>
  <c r="D6" i="4"/>
  <c r="E5" i="4"/>
  <c r="F5" i="4" s="1"/>
  <c r="D5" i="4"/>
  <c r="H4" i="4"/>
  <c r="E4" i="4"/>
  <c r="G4" i="4" s="1"/>
  <c r="D4" i="4"/>
  <c r="E3" i="4"/>
  <c r="H3" i="4" s="1"/>
  <c r="D3" i="4"/>
  <c r="G14" i="4" l="1"/>
  <c r="G17" i="4"/>
  <c r="H19" i="4"/>
  <c r="F21" i="4"/>
  <c r="F24" i="4"/>
  <c r="G27" i="4"/>
  <c r="H33" i="4"/>
  <c r="F35" i="4"/>
  <c r="G38" i="4"/>
  <c r="H40" i="4"/>
  <c r="G3" i="4"/>
  <c r="E9" i="4"/>
  <c r="F11" i="4"/>
  <c r="G28" i="4"/>
  <c r="E30" i="4"/>
  <c r="F32" i="4"/>
  <c r="G35" i="4"/>
  <c r="E8" i="4"/>
  <c r="E23" i="4"/>
  <c r="F25" i="4"/>
  <c r="G31" i="4"/>
  <c r="G5" i="4"/>
  <c r="H11" i="4"/>
  <c r="E15" i="4"/>
  <c r="G19" i="4"/>
  <c r="H25" i="4"/>
  <c r="E29" i="4"/>
  <c r="G33" i="4"/>
  <c r="H5" i="4"/>
  <c r="F7" i="4"/>
  <c r="F10" i="4"/>
  <c r="G13" i="4"/>
  <c r="F4" i="4"/>
  <c r="G7" i="4"/>
  <c r="G10" i="4"/>
  <c r="E16" i="4"/>
  <c r="F18" i="4"/>
  <c r="G21" i="4"/>
  <c r="G24" i="4"/>
  <c r="E36" i="4"/>
  <c r="H39" i="4"/>
  <c r="F41" i="4"/>
  <c r="H48" i="4"/>
  <c r="J48" i="4" s="1"/>
  <c r="G48" i="4"/>
  <c r="H50" i="4"/>
  <c r="J50" i="4" s="1"/>
  <c r="G50" i="4"/>
  <c r="H52" i="4"/>
  <c r="J52" i="4" s="1"/>
  <c r="G52" i="4"/>
  <c r="H55" i="4"/>
  <c r="J55" i="4" s="1"/>
  <c r="G55" i="4"/>
  <c r="H57" i="4"/>
  <c r="J57" i="4" s="1"/>
  <c r="G57" i="4"/>
  <c r="H60" i="4"/>
  <c r="J60" i="4" s="1"/>
  <c r="G60" i="4"/>
  <c r="H62" i="4"/>
  <c r="J62" i="4" s="1"/>
  <c r="G62" i="4"/>
  <c r="H64" i="4"/>
  <c r="J64" i="4" s="1"/>
  <c r="G64" i="4"/>
  <c r="E22" i="4"/>
  <c r="F3" i="4"/>
  <c r="F14" i="4"/>
  <c r="F17" i="4"/>
  <c r="F28" i="4"/>
  <c r="F31" i="4"/>
  <c r="E37" i="4"/>
  <c r="F40" i="4"/>
  <c r="H49" i="4"/>
  <c r="J49" i="4" s="1"/>
  <c r="G49" i="4"/>
  <c r="H51" i="4"/>
  <c r="J51" i="4" s="1"/>
  <c r="G51" i="4"/>
  <c r="H54" i="4"/>
  <c r="J54" i="4" s="1"/>
  <c r="G54" i="4"/>
  <c r="H56" i="4"/>
  <c r="J56" i="4" s="1"/>
  <c r="G56" i="4"/>
  <c r="H58" i="4"/>
  <c r="J58" i="4" s="1"/>
  <c r="G58" i="4"/>
  <c r="H61" i="4"/>
  <c r="J61" i="4" s="1"/>
  <c r="G61" i="4"/>
  <c r="H63" i="4"/>
  <c r="J63" i="4" s="1"/>
  <c r="G63" i="4"/>
  <c r="O3" i="1"/>
  <c r="J2" i="1"/>
  <c r="H41" i="4"/>
  <c r="E44" i="4"/>
  <c r="AG14" i="5"/>
  <c r="AG22" i="5"/>
  <c r="H38" i="4"/>
  <c r="AK13" i="5"/>
  <c r="AK21" i="5"/>
  <c r="AH37" i="5"/>
  <c r="AH53" i="5"/>
  <c r="AH69" i="5"/>
  <c r="AJ35" i="5"/>
  <c r="AJ36" i="5"/>
  <c r="AF43" i="5"/>
  <c r="AF44" i="5"/>
  <c r="AJ51" i="5"/>
  <c r="AJ52" i="5"/>
  <c r="AF59" i="5"/>
  <c r="AF60" i="5"/>
  <c r="AJ67" i="5"/>
  <c r="AG18" i="5"/>
  <c r="AG26" i="5"/>
  <c r="AF31" i="5"/>
  <c r="AG38" i="5"/>
  <c r="AJ39" i="5"/>
  <c r="AJ40" i="5"/>
  <c r="AH43" i="5"/>
  <c r="AK45" i="5"/>
  <c r="AF47" i="5"/>
  <c r="AG54" i="5"/>
  <c r="AJ56" i="5"/>
  <c r="AK61" i="5"/>
  <c r="AG70" i="5"/>
  <c r="AK17" i="5"/>
  <c r="AK25" i="5"/>
  <c r="AK31" i="5"/>
  <c r="AF33" i="5"/>
  <c r="AF34" i="5"/>
  <c r="AG40" i="5"/>
  <c r="AJ41" i="5"/>
  <c r="AJ42" i="5"/>
  <c r="AH45" i="5"/>
  <c r="AK47" i="5"/>
  <c r="AF49" i="5"/>
  <c r="AF50" i="5"/>
  <c r="AG56" i="5"/>
  <c r="AJ57" i="5"/>
  <c r="AJ58" i="5"/>
  <c r="AH61" i="5"/>
  <c r="AF63" i="5"/>
  <c r="AK63" i="5"/>
  <c r="AF66" i="5"/>
  <c r="AG72" i="5"/>
  <c r="AJ72" i="5"/>
  <c r="AJ81" i="5"/>
  <c r="AJ89" i="5"/>
  <c r="AG16" i="5"/>
  <c r="AG24" i="5"/>
  <c r="AH31" i="5"/>
  <c r="AK33" i="5"/>
  <c r="AF35" i="5"/>
  <c r="AF36" i="5"/>
  <c r="AG42" i="5"/>
  <c r="AJ43" i="5"/>
  <c r="AJ44" i="5"/>
  <c r="AH47" i="5"/>
  <c r="AK49" i="5"/>
  <c r="AF51" i="5"/>
  <c r="AF52" i="5"/>
  <c r="AG58" i="5"/>
  <c r="AJ59" i="5"/>
  <c r="AH63" i="5"/>
  <c r="AF65" i="5"/>
  <c r="AK65" i="5"/>
  <c r="AF68" i="5"/>
  <c r="AI75" i="5"/>
  <c r="AF76" i="5"/>
  <c r="AI76" i="5"/>
  <c r="AF84" i="5"/>
  <c r="AI84" i="5"/>
  <c r="AF92" i="5"/>
  <c r="AI92" i="5"/>
  <c r="AK15" i="5"/>
  <c r="AK23" i="5"/>
  <c r="AJ30" i="5"/>
  <c r="AH33" i="5"/>
  <c r="AK35" i="5"/>
  <c r="AF37" i="5"/>
  <c r="AF38" i="5"/>
  <c r="AG44" i="5"/>
  <c r="AJ45" i="5"/>
  <c r="AJ46" i="5"/>
  <c r="AH49" i="5"/>
  <c r="AK51" i="5"/>
  <c r="AF53" i="5"/>
  <c r="AF54" i="5"/>
  <c r="AG60" i="5"/>
  <c r="AJ60" i="5"/>
  <c r="AJ61" i="5"/>
  <c r="AH65" i="5"/>
  <c r="AF67" i="5"/>
  <c r="AK67" i="5"/>
  <c r="AF70" i="5"/>
  <c r="AJ79" i="5"/>
  <c r="AJ87" i="5"/>
  <c r="AJ95" i="5"/>
</calcChain>
</file>

<file path=xl/sharedStrings.xml><?xml version="1.0" encoding="utf-8"?>
<sst xmlns="http://schemas.openxmlformats.org/spreadsheetml/2006/main" count="303" uniqueCount="122">
  <si>
    <t>A. Predicted vs self-reported scores, by chat</t>
  </si>
  <si>
    <t>Condition</t>
  </si>
  <si>
    <t>Chat</t>
  </si>
  <si>
    <t>Trait</t>
  </si>
  <si>
    <t>n</t>
  </si>
  <si>
    <t>r</t>
  </si>
  <si>
    <t>ci_low</t>
  </si>
  <si>
    <t>ci_high</t>
  </si>
  <si>
    <t>p_parametric</t>
  </si>
  <si>
    <t>p_holm</t>
  </si>
  <si>
    <t>sig</t>
  </si>
  <si>
    <t>Full conversation (26 turns)</t>
  </si>
  <si>
    <t>Mirror</t>
  </si>
  <si>
    <t>Extraversion</t>
  </si>
  <si>
    <t>***</t>
  </si>
  <si>
    <t>Agreeableness</t>
  </si>
  <si>
    <t>Conscientiousness</t>
  </si>
  <si>
    <t>ns</t>
  </si>
  <si>
    <t>Neuroticism</t>
  </si>
  <si>
    <t>Openness</t>
  </si>
  <si>
    <t>Mean across traits</t>
  </si>
  <si>
    <t>SD</t>
  </si>
  <si>
    <t>Inverse</t>
  </si>
  <si>
    <t>**</t>
  </si>
  <si>
    <t>Content words and pronouns</t>
  </si>
  <si>
    <t>*</t>
  </si>
  <si>
    <t>Participant messages only</t>
  </si>
  <si>
    <t>B. Mirror vs inverse: Williams's test for dependent correlations (same participants, same self-report)</t>
  </si>
  <si>
    <t>r_mirror</t>
  </si>
  <si>
    <t>r_inverse</t>
  </si>
  <si>
    <t>r_preds</t>
  </si>
  <si>
    <t>diff</t>
  </si>
  <si>
    <t>t</t>
  </si>
  <si>
    <t>df</t>
  </si>
  <si>
    <t>Notes</t>
  </si>
  <si>
    <t>participant_ID</t>
  </si>
  <si>
    <t>participant_age</t>
  </si>
  <si>
    <t>participant_gender</t>
  </si>
  <si>
    <t>participant_start_time</t>
  </si>
  <si>
    <t>participant_end_time</t>
  </si>
  <si>
    <t>duration_min</t>
  </si>
  <si>
    <t>mirror_words</t>
  </si>
  <si>
    <t>inverse_words</t>
  </si>
  <si>
    <t>included</t>
  </si>
  <si>
    <t>rejection reason</t>
  </si>
  <si>
    <t>gender_label</t>
  </si>
  <si>
    <t>mirror_order</t>
  </si>
  <si>
    <t>Word minimum (each chat)</t>
  </si>
  <si>
    <t>Participants included</t>
  </si>
  <si>
    <t>self_extraversion</t>
  </si>
  <si>
    <t>self_agreeableness</t>
  </si>
  <si>
    <t>self_conscientiousness</t>
  </si>
  <si>
    <t>self_neuroticism</t>
  </si>
  <si>
    <t>self_openness</t>
  </si>
  <si>
    <t>mirror26_extraversion</t>
  </si>
  <si>
    <t>mirror26_agreeableness</t>
  </si>
  <si>
    <t>mirror26_conscientiousness</t>
  </si>
  <si>
    <t>mirror26_neuroticism</t>
  </si>
  <si>
    <t>mirror26_openness</t>
  </si>
  <si>
    <t>inverse26_extraversion</t>
  </si>
  <si>
    <t>inverse26_agreeableness</t>
  </si>
  <si>
    <t>inverse26_conscientiousness</t>
  </si>
  <si>
    <t>inverse26_neuroticism</t>
  </si>
  <si>
    <t>inverse26_openness</t>
  </si>
  <si>
    <t>mirrorBoW_extraversion</t>
  </si>
  <si>
    <t>mirrorBoW_agreeableness</t>
  </si>
  <si>
    <t>mirrorBoW_conscientiousness</t>
  </si>
  <si>
    <t>mirrorBoW_neuroticism</t>
  </si>
  <si>
    <t>mirrorBoW_openness</t>
  </si>
  <si>
    <t>inverseBoW_extraversion</t>
  </si>
  <si>
    <t>inverseBoW_agreeableness</t>
  </si>
  <si>
    <t>inverseBoW_conscientiousness</t>
  </si>
  <si>
    <t>inverseBoW_neuroticism</t>
  </si>
  <si>
    <t>inverseBoW_openness</t>
  </si>
  <si>
    <t>mirrorPartOnly_extraversion</t>
  </si>
  <si>
    <t>mirrorPartOnly_agreeableness</t>
  </si>
  <si>
    <t>mirrorPartOnly_conscientiousness</t>
  </si>
  <si>
    <t>mirrorPartOnly_neuroticism</t>
  </si>
  <si>
    <t>mirrorPartOnly_openness</t>
  </si>
  <si>
    <t>inversePartOnly_extraversion</t>
  </si>
  <si>
    <t>inversePartOnly_agreeableness</t>
  </si>
  <si>
    <t>inversePartOnly_conscientiousness</t>
  </si>
  <si>
    <t>inversePartOnly_neuroticism</t>
  </si>
  <si>
    <t>inversePartOnly_openness</t>
  </si>
  <si>
    <t>mirror_26_turn_extraversion</t>
  </si>
  <si>
    <t>mirror_26_turn_agreeableness</t>
  </si>
  <si>
    <t>mirror_26_turn_conscientiousness</t>
  </si>
  <si>
    <t>mirror_26_turn_neuroticism</t>
  </si>
  <si>
    <t>mirror_26_turn_openness</t>
  </si>
  <si>
    <t>inverse_26_turn_extraversion</t>
  </si>
  <si>
    <t>inverse_26_turn_agreeableness</t>
  </si>
  <si>
    <t>inverse_26_turn_conscientiousness</t>
  </si>
  <si>
    <t>inverse_26_turn_neuroticism</t>
  </si>
  <si>
    <t>inverse_26_turn_openness</t>
  </si>
  <si>
    <t>mirror_content_words_pron_extraversion</t>
  </si>
  <si>
    <t>mirror_content_words_pron_agreeableness</t>
  </si>
  <si>
    <t>mirror_content_words_pron_conscientiousness</t>
  </si>
  <si>
    <t>mirror_content_words_pron_neuroticism</t>
  </si>
  <si>
    <t>mirror_content_words_pron_openness</t>
  </si>
  <si>
    <t>inverse_content_words_pron_extraversion</t>
  </si>
  <si>
    <t>inverse_content_words_pron_agreeableness</t>
  </si>
  <si>
    <t>inverse_content_words_pron_conscientiousness</t>
  </si>
  <si>
    <t>inverse_content_words_pron_neuroticism</t>
  </si>
  <si>
    <t>inverse_content_words_pron_openness</t>
  </si>
  <si>
    <t>mirror_participant_only_extraversion</t>
  </si>
  <si>
    <t>mirror_participant_only_agreeableness</t>
  </si>
  <si>
    <t>mirror_participant_only_conscientiousness</t>
  </si>
  <si>
    <t>mirror_participant_only_neuroticism</t>
  </si>
  <si>
    <t>mirror_participant_only_openness</t>
  </si>
  <si>
    <t>inverse_participant_only_extraversion</t>
  </si>
  <si>
    <t>inverse_participant_only_agreeableness</t>
  </si>
  <si>
    <t>inverse_participant_only_conscientiousness</t>
  </si>
  <si>
    <t>inverse_participant_only_neuroticism</t>
  </si>
  <si>
    <t>inverse_participant_only_openness</t>
  </si>
  <si>
    <t>mean_mirror_26_turn</t>
  </si>
  <si>
    <t>mean_inverse_26_turn</t>
  </si>
  <si>
    <t>mean_mirror_content_words_pron</t>
  </si>
  <si>
    <t>mean_inverse_content_words_pron</t>
  </si>
  <si>
    <t>mean_mirror_participant_only</t>
  </si>
  <si>
    <t>mean_inverse_participant_only</t>
  </si>
  <si>
    <t>BoW = content words and pronouns</t>
  </si>
  <si>
    <t>Self = self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</si>
</sst>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7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6" fontId="3" fillId="0" borderId="0" xfId="0" applyNumberFormat="1" applyFont="1"/>
    <xf numFmtId="165" fontId="4" fillId="0" borderId="0" xfId="0" applyNumberFormat="1" applyFont="1"/>
    <xf numFmtId="2" fontId="2" fillId="0" borderId="0" xfId="0" applyNumberFormat="1" applyFont="1"/>
    <xf numFmtId="0" fontId="8" fillId="3" borderId="0" xfId="0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4" borderId="0" xfId="0" applyFont="1" applyFill="1" applyAlignment="1">
      <alignment vertical="center"/>
    </xf>
    <xf numFmtId="0" fontId="14" fillId="0" borderId="0" xfId="0" applyFont="1"/>
    <xf numFmtId="165" fontId="15" fillId="0" borderId="0" xfId="0" applyNumberFormat="1" applyFont="1"/>
    <xf numFmtId="165" fontId="14" fillId="0" borderId="0" xfId="0" applyNumberFormat="1" applyFont="1"/>
    <xf numFmtId="165" fontId="0" fillId="0" borderId="0" xfId="0" applyNumberFormat="1"/>
    <xf numFmtId="0" fontId="16" fillId="0" borderId="0" xfId="0" applyFont="1"/>
    <xf numFmtId="0" fontId="17" fillId="5" borderId="0" xfId="0" applyFont="1" applyFill="1" applyAlignment="1">
      <alignment vertical="center"/>
    </xf>
    <xf numFmtId="0" fontId="18" fillId="0" borderId="0" xfId="0" applyFont="1"/>
    <xf numFmtId="0" fontId="19" fillId="0" borderId="0" xfId="0" applyFont="1"/>
    <xf numFmtId="165" fontId="19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6" fontId="20" fillId="0" borderId="0" xfId="0" applyNumberFormat="1" applyFont="1"/>
    <xf numFmtId="0" fontId="20" fillId="0" borderId="0" xfId="0" applyFont="1"/>
    <xf numFmtId="0" fontId="21" fillId="0" borderId="0" xfId="0" applyFont="1"/>
    <xf numFmtId="165" fontId="21" fillId="0" borderId="0" xfId="0" applyNumberFormat="1" applyFont="1"/>
    <xf numFmtId="2" fontId="18" fillId="0" borderId="0" xfId="0" applyNumberFormat="1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22" sqref="N22"/>
    </sheetView>
  </sheetViews>
  <sheetFormatPr baseColWidth="10" defaultColWidth="8.83203125" defaultRowHeight="15" x14ac:dyDescent="0.2"/>
  <cols>
    <col min="1" max="1" width="17" customWidth="1"/>
    <col min="2" max="2" width="18" customWidth="1"/>
    <col min="3" max="3" width="21" customWidth="1"/>
    <col min="4" max="4" width="25" customWidth="1"/>
    <col min="5" max="5" width="23" customWidth="1"/>
    <col min="6" max="7" width="15" customWidth="1"/>
    <col min="8" max="8" width="16" customWidth="1"/>
    <col min="9" max="9" width="12" customWidth="1"/>
    <col min="10" max="10" width="18" customWidth="1"/>
    <col min="11" max="11" width="20" customWidth="1"/>
    <col min="12" max="12" width="14" customWidth="1"/>
    <col min="13" max="13" width="10" customWidth="1"/>
    <col min="14" max="14" width="26" customWidth="1"/>
    <col min="15" max="15" width="10" customWidth="1"/>
  </cols>
  <sheetData>
    <row r="1" spans="1:15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5" t="s">
        <v>45</v>
      </c>
      <c r="L1" s="15" t="s">
        <v>46</v>
      </c>
    </row>
    <row r="2" spans="1:15" x14ac:dyDescent="0.2">
      <c r="A2" s="2">
        <v>10345</v>
      </c>
      <c r="B2" s="2">
        <v>49</v>
      </c>
      <c r="C2" s="2">
        <v>1</v>
      </c>
      <c r="D2" s="2">
        <v>1752259251374</v>
      </c>
      <c r="E2" s="2">
        <v>1752261649504</v>
      </c>
      <c r="F2" s="3">
        <f t="shared" ref="F2:F33" si="0">(E2-D2)/60000</f>
        <v>39.968833333333336</v>
      </c>
      <c r="G2" s="4">
        <v>484</v>
      </c>
      <c r="H2" s="4">
        <v>406</v>
      </c>
      <c r="I2" s="16">
        <f t="shared" ref="I2:I33" si="1">IF(AND(G2&gt;=$O$2,H2&gt;=$O$2),1,0)</f>
        <v>1</v>
      </c>
      <c r="J2" s="2" t="str">
        <f t="shared" ref="J2:J33" si="2">IF(I2=1,"","too few words")</f>
        <v/>
      </c>
      <c r="K2" s="16" t="str">
        <f t="shared" ref="K2:K33" si="3">IF(C2=1,"Female",IF(C2=2,"Male","Code 3 (unconfirmed)"))</f>
        <v>Female</v>
      </c>
      <c r="L2" s="18">
        <v>1</v>
      </c>
      <c r="M2" s="4"/>
      <c r="N2" s="19" t="s">
        <v>47</v>
      </c>
      <c r="O2" s="18">
        <v>130</v>
      </c>
    </row>
    <row r="3" spans="1:15" x14ac:dyDescent="0.2">
      <c r="A3" s="2">
        <v>11492</v>
      </c>
      <c r="B3" s="2">
        <v>47</v>
      </c>
      <c r="C3" s="2">
        <v>2</v>
      </c>
      <c r="D3" s="2">
        <v>1752262127249</v>
      </c>
      <c r="E3" s="2">
        <v>1752266549468</v>
      </c>
      <c r="F3" s="3">
        <f t="shared" si="0"/>
        <v>73.703649999999996</v>
      </c>
      <c r="G3" s="4">
        <v>596</v>
      </c>
      <c r="H3" s="4">
        <v>474</v>
      </c>
      <c r="I3" s="16">
        <f t="shared" si="1"/>
        <v>1</v>
      </c>
      <c r="J3" s="2" t="str">
        <f t="shared" si="2"/>
        <v/>
      </c>
      <c r="K3" s="16" t="str">
        <f t="shared" si="3"/>
        <v>Male</v>
      </c>
      <c r="L3" s="18">
        <v>2</v>
      </c>
      <c r="M3" s="2"/>
      <c r="N3" s="19" t="s">
        <v>48</v>
      </c>
      <c r="O3" s="16">
        <f>SUM(I2:I101)</f>
        <v>95</v>
      </c>
    </row>
    <row r="4" spans="1:15" x14ac:dyDescent="0.2">
      <c r="A4" s="2">
        <v>12178</v>
      </c>
      <c r="B4" s="2">
        <v>33</v>
      </c>
      <c r="C4" s="2">
        <v>1</v>
      </c>
      <c r="D4" s="2">
        <v>1752259858135</v>
      </c>
      <c r="E4" s="2">
        <v>1752264277434</v>
      </c>
      <c r="F4" s="3">
        <f t="shared" si="0"/>
        <v>73.654983333333334</v>
      </c>
      <c r="G4" s="4">
        <v>598</v>
      </c>
      <c r="H4" s="4">
        <v>669</v>
      </c>
      <c r="I4" s="16">
        <f t="shared" si="1"/>
        <v>1</v>
      </c>
      <c r="J4" s="2" t="str">
        <f t="shared" si="2"/>
        <v/>
      </c>
      <c r="K4" s="16" t="str">
        <f t="shared" si="3"/>
        <v>Female</v>
      </c>
      <c r="L4" s="18">
        <v>1</v>
      </c>
    </row>
    <row r="5" spans="1:15" x14ac:dyDescent="0.2">
      <c r="A5" s="2">
        <v>16042</v>
      </c>
      <c r="B5" s="2">
        <v>29</v>
      </c>
      <c r="C5" s="2">
        <v>1</v>
      </c>
      <c r="D5" s="2">
        <v>1752259463691</v>
      </c>
      <c r="E5" s="2">
        <v>1752261292560</v>
      </c>
      <c r="F5" s="3">
        <f t="shared" si="0"/>
        <v>30.48115</v>
      </c>
      <c r="G5" s="4">
        <v>438</v>
      </c>
      <c r="H5" s="4">
        <v>530</v>
      </c>
      <c r="I5" s="16">
        <f t="shared" si="1"/>
        <v>1</v>
      </c>
      <c r="J5" s="2" t="str">
        <f t="shared" si="2"/>
        <v/>
      </c>
      <c r="K5" s="16" t="str">
        <f t="shared" si="3"/>
        <v>Female</v>
      </c>
      <c r="L5" s="18">
        <v>2</v>
      </c>
      <c r="N5" s="19"/>
    </row>
    <row r="6" spans="1:15" x14ac:dyDescent="0.2">
      <c r="A6" s="2">
        <v>16234</v>
      </c>
      <c r="B6" s="2">
        <v>49</v>
      </c>
      <c r="C6" s="2">
        <v>1</v>
      </c>
      <c r="D6" s="2">
        <v>1752416886549</v>
      </c>
      <c r="E6" s="2">
        <v>1752419486647</v>
      </c>
      <c r="F6" s="3">
        <f t="shared" si="0"/>
        <v>43.334966666666666</v>
      </c>
      <c r="G6" s="4">
        <v>477</v>
      </c>
      <c r="H6" s="4">
        <v>394</v>
      </c>
      <c r="I6" s="16">
        <f t="shared" si="1"/>
        <v>1</v>
      </c>
      <c r="J6" s="2" t="str">
        <f t="shared" si="2"/>
        <v/>
      </c>
      <c r="K6" s="16" t="str">
        <f t="shared" si="3"/>
        <v>Female</v>
      </c>
      <c r="L6" s="18">
        <v>1</v>
      </c>
      <c r="N6" s="17"/>
    </row>
    <row r="7" spans="1:15" x14ac:dyDescent="0.2">
      <c r="A7" s="2">
        <v>17304</v>
      </c>
      <c r="B7" s="2">
        <v>34</v>
      </c>
      <c r="C7" s="2">
        <v>1</v>
      </c>
      <c r="D7" s="2">
        <v>1752416843866</v>
      </c>
      <c r="E7" s="2">
        <v>1752419639864</v>
      </c>
      <c r="F7" s="3">
        <f t="shared" si="0"/>
        <v>46.599966666666667</v>
      </c>
      <c r="G7" s="4">
        <v>243</v>
      </c>
      <c r="H7" s="4">
        <v>384</v>
      </c>
      <c r="I7" s="16">
        <f t="shared" si="1"/>
        <v>1</v>
      </c>
      <c r="J7" s="2" t="str">
        <f t="shared" si="2"/>
        <v/>
      </c>
      <c r="K7" s="16" t="str">
        <f t="shared" si="3"/>
        <v>Female</v>
      </c>
      <c r="L7" s="18">
        <v>2</v>
      </c>
      <c r="N7" s="17"/>
    </row>
    <row r="8" spans="1:15" x14ac:dyDescent="0.2">
      <c r="A8" s="2">
        <v>18724</v>
      </c>
      <c r="B8" s="2">
        <v>46</v>
      </c>
      <c r="C8" s="2">
        <v>1</v>
      </c>
      <c r="D8" s="2">
        <v>1752417313723</v>
      </c>
      <c r="E8" s="2">
        <v>1752422138079</v>
      </c>
      <c r="F8" s="3">
        <f t="shared" si="0"/>
        <v>80.405933333333337</v>
      </c>
      <c r="G8" s="4">
        <v>503</v>
      </c>
      <c r="H8" s="4">
        <v>480</v>
      </c>
      <c r="I8" s="16">
        <f t="shared" si="1"/>
        <v>1</v>
      </c>
      <c r="J8" s="2" t="str">
        <f t="shared" si="2"/>
        <v/>
      </c>
      <c r="K8" s="16" t="str">
        <f t="shared" si="3"/>
        <v>Female</v>
      </c>
      <c r="L8" s="18">
        <v>1</v>
      </c>
      <c r="N8" s="17"/>
    </row>
    <row r="9" spans="1:15" x14ac:dyDescent="0.2">
      <c r="A9" s="2">
        <v>21566</v>
      </c>
      <c r="B9" s="2">
        <v>39</v>
      </c>
      <c r="C9" s="2">
        <v>2</v>
      </c>
      <c r="D9" s="2">
        <v>1752259113581</v>
      </c>
      <c r="E9" s="2">
        <v>1752262159360</v>
      </c>
      <c r="F9" s="3">
        <f t="shared" si="0"/>
        <v>50.762983333333331</v>
      </c>
      <c r="G9" s="4">
        <v>224</v>
      </c>
      <c r="H9" s="4">
        <v>483</v>
      </c>
      <c r="I9" s="16">
        <f t="shared" si="1"/>
        <v>1</v>
      </c>
      <c r="J9" s="2" t="str">
        <f t="shared" si="2"/>
        <v/>
      </c>
      <c r="K9" s="16" t="str">
        <f t="shared" si="3"/>
        <v>Male</v>
      </c>
      <c r="L9" s="18">
        <v>2</v>
      </c>
      <c r="N9" s="17"/>
    </row>
    <row r="10" spans="1:15" x14ac:dyDescent="0.2">
      <c r="A10" s="2">
        <v>22826</v>
      </c>
      <c r="B10" s="2">
        <v>41</v>
      </c>
      <c r="C10" s="2">
        <v>2</v>
      </c>
      <c r="D10" s="2">
        <v>1752416813983</v>
      </c>
      <c r="E10" s="2">
        <v>1752418721926</v>
      </c>
      <c r="F10" s="3">
        <f t="shared" si="0"/>
        <v>31.799050000000001</v>
      </c>
      <c r="G10" s="4">
        <v>79</v>
      </c>
      <c r="H10" s="4">
        <v>151</v>
      </c>
      <c r="I10" s="16">
        <f t="shared" si="1"/>
        <v>0</v>
      </c>
      <c r="J10" s="2" t="str">
        <f t="shared" si="2"/>
        <v>too few words</v>
      </c>
      <c r="K10" s="16" t="str">
        <f t="shared" si="3"/>
        <v>Male</v>
      </c>
      <c r="L10" s="18">
        <v>2</v>
      </c>
      <c r="N10" s="17"/>
    </row>
    <row r="11" spans="1:15" x14ac:dyDescent="0.2">
      <c r="A11" s="2">
        <v>23105</v>
      </c>
      <c r="B11" s="2">
        <v>21</v>
      </c>
      <c r="C11" s="2">
        <v>1</v>
      </c>
      <c r="D11" s="2">
        <v>1752259232717</v>
      </c>
      <c r="E11" s="2">
        <v>1752262291130</v>
      </c>
      <c r="F11" s="3">
        <f t="shared" si="0"/>
        <v>50.973550000000003</v>
      </c>
      <c r="G11" s="4">
        <v>535</v>
      </c>
      <c r="H11" s="4">
        <v>532</v>
      </c>
      <c r="I11" s="16">
        <f t="shared" si="1"/>
        <v>1</v>
      </c>
      <c r="J11" s="2" t="str">
        <f t="shared" si="2"/>
        <v/>
      </c>
      <c r="K11" s="16" t="str">
        <f t="shared" si="3"/>
        <v>Female</v>
      </c>
      <c r="L11" s="18">
        <v>1</v>
      </c>
      <c r="N11" s="17"/>
    </row>
    <row r="12" spans="1:15" x14ac:dyDescent="0.2">
      <c r="A12" s="2">
        <v>23429</v>
      </c>
      <c r="B12" s="2">
        <v>39</v>
      </c>
      <c r="C12" s="2">
        <v>1</v>
      </c>
      <c r="D12" s="2">
        <v>1752416776963</v>
      </c>
      <c r="E12" s="2">
        <v>1752418429152</v>
      </c>
      <c r="F12" s="3">
        <f t="shared" si="0"/>
        <v>27.536483333333333</v>
      </c>
      <c r="G12" s="4">
        <v>478</v>
      </c>
      <c r="H12" s="4">
        <v>376</v>
      </c>
      <c r="I12" s="16">
        <f t="shared" si="1"/>
        <v>1</v>
      </c>
      <c r="J12" s="2" t="str">
        <f t="shared" si="2"/>
        <v/>
      </c>
      <c r="K12" s="16" t="str">
        <f t="shared" si="3"/>
        <v>Female</v>
      </c>
      <c r="L12" s="18">
        <v>1</v>
      </c>
      <c r="N12" s="17"/>
    </row>
    <row r="13" spans="1:15" x14ac:dyDescent="0.2">
      <c r="A13" s="2">
        <v>23564</v>
      </c>
      <c r="B13" s="2">
        <v>42</v>
      </c>
      <c r="C13" s="2">
        <v>1</v>
      </c>
      <c r="D13" s="2">
        <v>1752259603440</v>
      </c>
      <c r="E13" s="2">
        <v>1752261388802</v>
      </c>
      <c r="F13" s="3">
        <f t="shared" si="0"/>
        <v>29.756033333333335</v>
      </c>
      <c r="G13" s="4">
        <v>266</v>
      </c>
      <c r="H13" s="4">
        <v>276</v>
      </c>
      <c r="I13" s="16">
        <f t="shared" si="1"/>
        <v>1</v>
      </c>
      <c r="J13" s="2" t="str">
        <f t="shared" si="2"/>
        <v/>
      </c>
      <c r="K13" s="16" t="str">
        <f t="shared" si="3"/>
        <v>Female</v>
      </c>
      <c r="L13" s="18">
        <v>2</v>
      </c>
      <c r="N13" s="17"/>
    </row>
    <row r="14" spans="1:15" x14ac:dyDescent="0.2">
      <c r="A14" s="2">
        <v>24311</v>
      </c>
      <c r="B14" s="2">
        <v>35</v>
      </c>
      <c r="C14" s="2">
        <v>2</v>
      </c>
      <c r="D14" s="2">
        <v>1752259261565</v>
      </c>
      <c r="E14" s="2">
        <v>1752261359726</v>
      </c>
      <c r="F14" s="3">
        <f t="shared" si="0"/>
        <v>34.969349999999999</v>
      </c>
      <c r="G14" s="4">
        <v>377</v>
      </c>
      <c r="H14" s="4">
        <v>435</v>
      </c>
      <c r="I14" s="16">
        <f t="shared" si="1"/>
        <v>1</v>
      </c>
      <c r="J14" s="2" t="str">
        <f t="shared" si="2"/>
        <v/>
      </c>
      <c r="K14" s="16" t="str">
        <f t="shared" si="3"/>
        <v>Male</v>
      </c>
      <c r="L14" s="18">
        <v>1</v>
      </c>
      <c r="N14" s="17"/>
    </row>
    <row r="15" spans="1:15" x14ac:dyDescent="0.2">
      <c r="A15" s="2">
        <v>26586</v>
      </c>
      <c r="B15" s="2">
        <v>50</v>
      </c>
      <c r="C15" s="2">
        <v>1</v>
      </c>
      <c r="D15" s="2">
        <v>1752259296735</v>
      </c>
      <c r="E15" s="2">
        <v>1752263037091</v>
      </c>
      <c r="F15" s="3">
        <f t="shared" si="0"/>
        <v>62.339266666666667</v>
      </c>
      <c r="G15" s="4">
        <v>757</v>
      </c>
      <c r="H15" s="4">
        <v>649</v>
      </c>
      <c r="I15" s="16">
        <f t="shared" si="1"/>
        <v>1</v>
      </c>
      <c r="J15" s="2" t="str">
        <f t="shared" si="2"/>
        <v/>
      </c>
      <c r="K15" s="16" t="str">
        <f t="shared" si="3"/>
        <v>Female</v>
      </c>
      <c r="L15" s="18">
        <v>2</v>
      </c>
      <c r="N15" s="17"/>
    </row>
    <row r="16" spans="1:15" x14ac:dyDescent="0.2">
      <c r="A16" s="2">
        <v>26627</v>
      </c>
      <c r="B16" s="2">
        <v>47</v>
      </c>
      <c r="C16" s="2">
        <v>1</v>
      </c>
      <c r="D16" s="2">
        <v>1752416950442</v>
      </c>
      <c r="E16" s="2">
        <v>1752419959445</v>
      </c>
      <c r="F16" s="3">
        <f t="shared" si="0"/>
        <v>50.15005</v>
      </c>
      <c r="G16" s="4">
        <v>422</v>
      </c>
      <c r="H16" s="4">
        <v>537</v>
      </c>
      <c r="I16" s="16">
        <f t="shared" si="1"/>
        <v>1</v>
      </c>
      <c r="J16" s="2" t="str">
        <f t="shared" si="2"/>
        <v/>
      </c>
      <c r="K16" s="16" t="str">
        <f t="shared" si="3"/>
        <v>Female</v>
      </c>
      <c r="L16" s="18">
        <v>2</v>
      </c>
    </row>
    <row r="17" spans="1:12" x14ac:dyDescent="0.2">
      <c r="A17" s="2">
        <v>29239</v>
      </c>
      <c r="B17" s="2">
        <v>42</v>
      </c>
      <c r="C17" s="2">
        <v>2</v>
      </c>
      <c r="D17" s="2">
        <v>1752259675405</v>
      </c>
      <c r="E17" s="2">
        <v>1752263127051</v>
      </c>
      <c r="F17" s="3">
        <f t="shared" si="0"/>
        <v>57.527433333333335</v>
      </c>
      <c r="G17" s="4">
        <v>739</v>
      </c>
      <c r="H17" s="4">
        <v>461</v>
      </c>
      <c r="I17" s="16">
        <f t="shared" si="1"/>
        <v>1</v>
      </c>
      <c r="J17" s="2" t="str">
        <f t="shared" si="2"/>
        <v/>
      </c>
      <c r="K17" s="16" t="str">
        <f t="shared" si="3"/>
        <v>Male</v>
      </c>
      <c r="L17" s="18">
        <v>2</v>
      </c>
    </row>
    <row r="18" spans="1:12" x14ac:dyDescent="0.2">
      <c r="A18" s="2">
        <v>29937</v>
      </c>
      <c r="B18" s="2">
        <v>32</v>
      </c>
      <c r="C18" s="2">
        <v>2</v>
      </c>
      <c r="D18" s="2">
        <v>1752259500226</v>
      </c>
      <c r="E18" s="2">
        <v>1752263213344</v>
      </c>
      <c r="F18" s="3">
        <f t="shared" si="0"/>
        <v>61.885300000000001</v>
      </c>
      <c r="G18" s="4">
        <v>273</v>
      </c>
      <c r="H18" s="4">
        <v>458</v>
      </c>
      <c r="I18" s="16">
        <f t="shared" si="1"/>
        <v>1</v>
      </c>
      <c r="J18" s="2" t="str">
        <f t="shared" si="2"/>
        <v/>
      </c>
      <c r="K18" s="16" t="str">
        <f t="shared" si="3"/>
        <v>Male</v>
      </c>
      <c r="L18" s="18">
        <v>2</v>
      </c>
    </row>
    <row r="19" spans="1:12" x14ac:dyDescent="0.2">
      <c r="A19" s="2">
        <v>30122</v>
      </c>
      <c r="B19" s="2">
        <v>35</v>
      </c>
      <c r="C19" s="2">
        <v>1</v>
      </c>
      <c r="D19" s="2">
        <v>1752416823815</v>
      </c>
      <c r="E19" s="2">
        <v>1752419433466</v>
      </c>
      <c r="F19" s="3">
        <f t="shared" si="0"/>
        <v>43.494183333333332</v>
      </c>
      <c r="G19" s="4">
        <v>523</v>
      </c>
      <c r="H19" s="4">
        <v>421</v>
      </c>
      <c r="I19" s="16">
        <f t="shared" si="1"/>
        <v>1</v>
      </c>
      <c r="J19" s="2" t="str">
        <f t="shared" si="2"/>
        <v/>
      </c>
      <c r="K19" s="16" t="str">
        <f t="shared" si="3"/>
        <v>Female</v>
      </c>
      <c r="L19" s="18">
        <v>1</v>
      </c>
    </row>
    <row r="20" spans="1:12" x14ac:dyDescent="0.2">
      <c r="A20" s="2">
        <v>31717</v>
      </c>
      <c r="B20" s="2">
        <v>42</v>
      </c>
      <c r="C20" s="2">
        <v>2</v>
      </c>
      <c r="D20" s="2">
        <v>1752259261400</v>
      </c>
      <c r="E20" s="2">
        <v>1752261236043</v>
      </c>
      <c r="F20" s="3">
        <f t="shared" si="0"/>
        <v>32.910716666666666</v>
      </c>
      <c r="G20" s="4">
        <v>778</v>
      </c>
      <c r="H20" s="4">
        <v>639</v>
      </c>
      <c r="I20" s="16">
        <f t="shared" si="1"/>
        <v>1</v>
      </c>
      <c r="J20" s="2" t="str">
        <f t="shared" si="2"/>
        <v/>
      </c>
      <c r="K20" s="16" t="str">
        <f t="shared" si="3"/>
        <v>Male</v>
      </c>
      <c r="L20" s="18">
        <v>2</v>
      </c>
    </row>
    <row r="21" spans="1:12" x14ac:dyDescent="0.2">
      <c r="A21" s="2">
        <v>32062</v>
      </c>
      <c r="B21" s="2">
        <v>34</v>
      </c>
      <c r="C21" s="2">
        <v>2</v>
      </c>
      <c r="D21" s="2">
        <v>1752262220421</v>
      </c>
      <c r="E21" s="2">
        <v>1752263319294</v>
      </c>
      <c r="F21" s="3">
        <f t="shared" si="0"/>
        <v>18.314550000000001</v>
      </c>
      <c r="G21" s="4">
        <v>128</v>
      </c>
      <c r="H21" s="4">
        <v>174</v>
      </c>
      <c r="I21" s="16">
        <f t="shared" si="1"/>
        <v>0</v>
      </c>
      <c r="J21" s="2" t="str">
        <f t="shared" si="2"/>
        <v>too few words</v>
      </c>
      <c r="K21" s="16" t="str">
        <f t="shared" si="3"/>
        <v>Male</v>
      </c>
      <c r="L21" s="18">
        <v>2</v>
      </c>
    </row>
    <row r="22" spans="1:12" x14ac:dyDescent="0.2">
      <c r="A22" s="2">
        <v>32418</v>
      </c>
      <c r="B22" s="2">
        <v>37</v>
      </c>
      <c r="C22" s="2">
        <v>2</v>
      </c>
      <c r="D22" s="2">
        <v>1752260280684</v>
      </c>
      <c r="E22" s="2">
        <v>1752263616057</v>
      </c>
      <c r="F22" s="3">
        <f t="shared" si="0"/>
        <v>55.589550000000003</v>
      </c>
      <c r="G22" s="4">
        <v>225</v>
      </c>
      <c r="H22" s="4">
        <v>201</v>
      </c>
      <c r="I22" s="16">
        <f t="shared" si="1"/>
        <v>1</v>
      </c>
      <c r="J22" s="2" t="str">
        <f t="shared" si="2"/>
        <v/>
      </c>
      <c r="K22" s="16" t="str">
        <f t="shared" si="3"/>
        <v>Male</v>
      </c>
      <c r="L22" s="18">
        <v>1</v>
      </c>
    </row>
    <row r="23" spans="1:12" x14ac:dyDescent="0.2">
      <c r="A23" s="2">
        <v>32999</v>
      </c>
      <c r="B23" s="2">
        <v>34</v>
      </c>
      <c r="C23" s="2">
        <v>2</v>
      </c>
      <c r="D23" s="2">
        <v>1752259345059</v>
      </c>
      <c r="E23" s="2">
        <v>1752261217395</v>
      </c>
      <c r="F23" s="3">
        <f t="shared" si="0"/>
        <v>31.2056</v>
      </c>
      <c r="G23" s="4">
        <v>233</v>
      </c>
      <c r="H23" s="4">
        <v>256</v>
      </c>
      <c r="I23" s="16">
        <f t="shared" si="1"/>
        <v>1</v>
      </c>
      <c r="J23" s="2" t="str">
        <f t="shared" si="2"/>
        <v/>
      </c>
      <c r="K23" s="16" t="str">
        <f t="shared" si="3"/>
        <v>Male</v>
      </c>
      <c r="L23" s="18">
        <v>1</v>
      </c>
    </row>
    <row r="24" spans="1:12" x14ac:dyDescent="0.2">
      <c r="A24" s="2">
        <v>33211</v>
      </c>
      <c r="B24" s="2">
        <v>20</v>
      </c>
      <c r="C24" s="2">
        <v>2</v>
      </c>
      <c r="D24" s="2">
        <v>1752417085792</v>
      </c>
      <c r="E24" s="2">
        <v>1752419047692</v>
      </c>
      <c r="F24" s="3">
        <f t="shared" si="0"/>
        <v>32.698333333333331</v>
      </c>
      <c r="G24" s="4">
        <v>412</v>
      </c>
      <c r="H24" s="4">
        <v>270</v>
      </c>
      <c r="I24" s="16">
        <f t="shared" si="1"/>
        <v>1</v>
      </c>
      <c r="J24" s="2" t="str">
        <f t="shared" si="2"/>
        <v/>
      </c>
      <c r="K24" s="16" t="str">
        <f t="shared" si="3"/>
        <v>Male</v>
      </c>
      <c r="L24" s="18">
        <v>2</v>
      </c>
    </row>
    <row r="25" spans="1:12" x14ac:dyDescent="0.2">
      <c r="A25" s="2">
        <v>33270</v>
      </c>
      <c r="B25" s="2">
        <v>24</v>
      </c>
      <c r="C25" s="2">
        <v>1</v>
      </c>
      <c r="D25" s="2">
        <v>1752417034629</v>
      </c>
      <c r="E25" s="2">
        <v>1752418371460</v>
      </c>
      <c r="F25" s="3">
        <f t="shared" si="0"/>
        <v>22.280516666666667</v>
      </c>
      <c r="G25" s="4">
        <v>357</v>
      </c>
      <c r="H25" s="4">
        <v>339</v>
      </c>
      <c r="I25" s="16">
        <f t="shared" si="1"/>
        <v>1</v>
      </c>
      <c r="J25" s="2" t="str">
        <f t="shared" si="2"/>
        <v/>
      </c>
      <c r="K25" s="16" t="str">
        <f t="shared" si="3"/>
        <v>Female</v>
      </c>
      <c r="L25" s="18">
        <v>2</v>
      </c>
    </row>
    <row r="26" spans="1:12" x14ac:dyDescent="0.2">
      <c r="A26" s="2">
        <v>35669</v>
      </c>
      <c r="B26" s="2">
        <v>20</v>
      </c>
      <c r="C26" s="2">
        <v>2</v>
      </c>
      <c r="D26" s="2">
        <v>1752416786288</v>
      </c>
      <c r="E26" s="2">
        <v>1752419316283</v>
      </c>
      <c r="F26" s="3">
        <f t="shared" si="0"/>
        <v>42.166583333333335</v>
      </c>
      <c r="G26" s="4">
        <v>467</v>
      </c>
      <c r="H26" s="4">
        <v>435</v>
      </c>
      <c r="I26" s="16">
        <f t="shared" si="1"/>
        <v>1</v>
      </c>
      <c r="J26" s="2" t="str">
        <f t="shared" si="2"/>
        <v/>
      </c>
      <c r="K26" s="16" t="str">
        <f t="shared" si="3"/>
        <v>Male</v>
      </c>
      <c r="L26" s="18">
        <v>2</v>
      </c>
    </row>
    <row r="27" spans="1:12" x14ac:dyDescent="0.2">
      <c r="A27" s="2">
        <v>37239</v>
      </c>
      <c r="B27" s="2">
        <v>46</v>
      </c>
      <c r="C27" s="2">
        <v>1</v>
      </c>
      <c r="D27" s="2">
        <v>1752419198690</v>
      </c>
      <c r="E27" s="2">
        <v>1752420974460</v>
      </c>
      <c r="F27" s="3">
        <f t="shared" si="0"/>
        <v>29.596166666666665</v>
      </c>
      <c r="G27" s="4">
        <v>306</v>
      </c>
      <c r="H27" s="4">
        <v>302</v>
      </c>
      <c r="I27" s="16">
        <f t="shared" si="1"/>
        <v>1</v>
      </c>
      <c r="J27" s="2" t="str">
        <f t="shared" si="2"/>
        <v/>
      </c>
      <c r="K27" s="16" t="str">
        <f t="shared" si="3"/>
        <v>Female</v>
      </c>
      <c r="L27" s="18">
        <v>1</v>
      </c>
    </row>
    <row r="28" spans="1:12" x14ac:dyDescent="0.2">
      <c r="A28" s="2">
        <v>37559</v>
      </c>
      <c r="B28" s="2">
        <v>28</v>
      </c>
      <c r="C28" s="2">
        <v>2</v>
      </c>
      <c r="D28" s="2">
        <v>1752418037229</v>
      </c>
      <c r="E28" s="2">
        <v>1752420412916</v>
      </c>
      <c r="F28" s="3">
        <f t="shared" si="0"/>
        <v>39.594783333333332</v>
      </c>
      <c r="G28" s="4">
        <v>461</v>
      </c>
      <c r="H28" s="4">
        <v>691</v>
      </c>
      <c r="I28" s="16">
        <f t="shared" si="1"/>
        <v>1</v>
      </c>
      <c r="J28" s="2" t="str">
        <f t="shared" si="2"/>
        <v/>
      </c>
      <c r="K28" s="16" t="str">
        <f t="shared" si="3"/>
        <v>Male</v>
      </c>
      <c r="L28" s="18">
        <v>1</v>
      </c>
    </row>
    <row r="29" spans="1:12" x14ac:dyDescent="0.2">
      <c r="A29" s="2">
        <v>37703</v>
      </c>
      <c r="B29" s="2">
        <v>38</v>
      </c>
      <c r="C29" s="2">
        <v>1</v>
      </c>
      <c r="D29" s="2">
        <v>1752438483648</v>
      </c>
      <c r="E29" s="2">
        <v>1752439814309</v>
      </c>
      <c r="F29" s="3">
        <f t="shared" si="0"/>
        <v>22.177683333333334</v>
      </c>
      <c r="G29" s="4">
        <v>215</v>
      </c>
      <c r="H29" s="4">
        <v>264</v>
      </c>
      <c r="I29" s="16">
        <f t="shared" si="1"/>
        <v>1</v>
      </c>
      <c r="J29" s="2" t="str">
        <f t="shared" si="2"/>
        <v/>
      </c>
      <c r="K29" s="16" t="str">
        <f t="shared" si="3"/>
        <v>Female</v>
      </c>
      <c r="L29" s="18">
        <v>1</v>
      </c>
    </row>
    <row r="30" spans="1:12" x14ac:dyDescent="0.2">
      <c r="A30" s="2">
        <v>38794</v>
      </c>
      <c r="B30" s="2">
        <v>30</v>
      </c>
      <c r="C30" s="2">
        <v>2</v>
      </c>
      <c r="D30" s="2">
        <v>1752416879276</v>
      </c>
      <c r="E30" s="2">
        <v>1752418468168</v>
      </c>
      <c r="F30" s="3">
        <f t="shared" si="0"/>
        <v>26.481533333333335</v>
      </c>
      <c r="G30" s="4">
        <v>268</v>
      </c>
      <c r="H30" s="4">
        <v>262</v>
      </c>
      <c r="I30" s="16">
        <f t="shared" si="1"/>
        <v>1</v>
      </c>
      <c r="J30" s="2" t="str">
        <f t="shared" si="2"/>
        <v/>
      </c>
      <c r="K30" s="16" t="str">
        <f t="shared" si="3"/>
        <v>Male</v>
      </c>
      <c r="L30" s="18">
        <v>1</v>
      </c>
    </row>
    <row r="31" spans="1:12" x14ac:dyDescent="0.2">
      <c r="A31" s="2">
        <v>38957</v>
      </c>
      <c r="B31" s="2">
        <v>32</v>
      </c>
      <c r="C31" s="2">
        <v>2</v>
      </c>
      <c r="D31" s="2">
        <v>1752264711971</v>
      </c>
      <c r="E31" s="2">
        <v>1752268279340</v>
      </c>
      <c r="F31" s="3">
        <f t="shared" si="0"/>
        <v>59.456150000000001</v>
      </c>
      <c r="G31" s="4">
        <v>748</v>
      </c>
      <c r="H31" s="4">
        <v>468</v>
      </c>
      <c r="I31" s="16">
        <f t="shared" si="1"/>
        <v>1</v>
      </c>
      <c r="J31" s="2" t="str">
        <f t="shared" si="2"/>
        <v/>
      </c>
      <c r="K31" s="16" t="str">
        <f t="shared" si="3"/>
        <v>Male</v>
      </c>
      <c r="L31" s="18">
        <v>2</v>
      </c>
    </row>
    <row r="32" spans="1:12" x14ac:dyDescent="0.2">
      <c r="A32" s="2">
        <v>39320</v>
      </c>
      <c r="B32" s="2">
        <v>44</v>
      </c>
      <c r="C32" s="2">
        <v>2</v>
      </c>
      <c r="D32" s="2">
        <v>1752416803011</v>
      </c>
      <c r="E32" s="2">
        <v>1752418425586</v>
      </c>
      <c r="F32" s="3">
        <f t="shared" si="0"/>
        <v>27.042916666666667</v>
      </c>
      <c r="G32" s="4">
        <v>163</v>
      </c>
      <c r="H32" s="4">
        <v>352</v>
      </c>
      <c r="I32" s="16">
        <f t="shared" si="1"/>
        <v>1</v>
      </c>
      <c r="J32" s="2" t="str">
        <f t="shared" si="2"/>
        <v/>
      </c>
      <c r="K32" s="16" t="str">
        <f t="shared" si="3"/>
        <v>Male</v>
      </c>
      <c r="L32" s="18">
        <v>1</v>
      </c>
    </row>
    <row r="33" spans="1:12" x14ac:dyDescent="0.2">
      <c r="A33" s="2">
        <v>39756</v>
      </c>
      <c r="B33" s="2">
        <v>22</v>
      </c>
      <c r="C33" s="2">
        <v>2</v>
      </c>
      <c r="D33" s="2">
        <v>1752259131279</v>
      </c>
      <c r="E33" s="2">
        <v>1752261225392</v>
      </c>
      <c r="F33" s="3">
        <f t="shared" si="0"/>
        <v>34.90188333333333</v>
      </c>
      <c r="G33" s="4">
        <v>455</v>
      </c>
      <c r="H33" s="4">
        <v>357</v>
      </c>
      <c r="I33" s="16">
        <f t="shared" si="1"/>
        <v>1</v>
      </c>
      <c r="J33" s="2" t="str">
        <f t="shared" si="2"/>
        <v/>
      </c>
      <c r="K33" s="16" t="str">
        <f t="shared" si="3"/>
        <v>Male</v>
      </c>
      <c r="L33" s="18">
        <v>1</v>
      </c>
    </row>
    <row r="34" spans="1:12" x14ac:dyDescent="0.2">
      <c r="A34" s="2">
        <v>40326</v>
      </c>
      <c r="B34" s="2">
        <v>34</v>
      </c>
      <c r="C34" s="2">
        <v>1</v>
      </c>
      <c r="D34" s="2">
        <v>1752259262126</v>
      </c>
      <c r="E34" s="2">
        <v>1752262042754</v>
      </c>
      <c r="F34" s="3">
        <f t="shared" ref="F34:F65" si="4">(E34-D34)/60000</f>
        <v>46.343800000000002</v>
      </c>
      <c r="G34" s="4">
        <v>544</v>
      </c>
      <c r="H34" s="4">
        <v>392</v>
      </c>
      <c r="I34" s="16">
        <f t="shared" ref="I34:I65" si="5">IF(AND(G34&gt;=$O$2,H34&gt;=$O$2),1,0)</f>
        <v>1</v>
      </c>
      <c r="J34" s="2" t="str">
        <f t="shared" ref="J34:J65" si="6">IF(I34=1,"","too few words")</f>
        <v/>
      </c>
      <c r="K34" s="16" t="str">
        <f t="shared" ref="K34:K65" si="7">IF(C34=1,"Female",IF(C34=2,"Male","Code 3 (unconfirmed)"))</f>
        <v>Female</v>
      </c>
      <c r="L34" s="18">
        <v>2</v>
      </c>
    </row>
    <row r="35" spans="1:12" x14ac:dyDescent="0.2">
      <c r="A35" s="2">
        <v>40358</v>
      </c>
      <c r="B35" s="2">
        <v>33</v>
      </c>
      <c r="C35" s="2">
        <v>1</v>
      </c>
      <c r="D35" s="2">
        <v>1752259145665</v>
      </c>
      <c r="E35" s="2">
        <v>1752260680264</v>
      </c>
      <c r="F35" s="3">
        <f t="shared" si="4"/>
        <v>25.576650000000001</v>
      </c>
      <c r="G35" s="4">
        <v>294</v>
      </c>
      <c r="H35" s="4">
        <v>450</v>
      </c>
      <c r="I35" s="16">
        <f t="shared" si="5"/>
        <v>1</v>
      </c>
      <c r="J35" s="2" t="str">
        <f t="shared" si="6"/>
        <v/>
      </c>
      <c r="K35" s="16" t="str">
        <f t="shared" si="7"/>
        <v>Female</v>
      </c>
      <c r="L35" s="18">
        <v>2</v>
      </c>
    </row>
    <row r="36" spans="1:12" x14ac:dyDescent="0.2">
      <c r="A36" s="2">
        <v>40377</v>
      </c>
      <c r="B36" s="2">
        <v>27</v>
      </c>
      <c r="C36" s="2">
        <v>1</v>
      </c>
      <c r="D36" s="2">
        <v>1752416848208</v>
      </c>
      <c r="E36" s="2">
        <v>1752422214069</v>
      </c>
      <c r="F36" s="3">
        <f t="shared" si="4"/>
        <v>89.431016666666665</v>
      </c>
      <c r="G36" s="4">
        <v>459</v>
      </c>
      <c r="H36" s="4">
        <v>362</v>
      </c>
      <c r="I36" s="16">
        <f t="shared" si="5"/>
        <v>1</v>
      </c>
      <c r="J36" s="2" t="str">
        <f t="shared" si="6"/>
        <v/>
      </c>
      <c r="K36" s="16" t="str">
        <f t="shared" si="7"/>
        <v>Female</v>
      </c>
      <c r="L36" s="18">
        <v>2</v>
      </c>
    </row>
    <row r="37" spans="1:12" x14ac:dyDescent="0.2">
      <c r="A37" s="2">
        <v>40570</v>
      </c>
      <c r="B37" s="2">
        <v>31</v>
      </c>
      <c r="C37" s="2">
        <v>2</v>
      </c>
      <c r="D37" s="2">
        <v>1752259432061</v>
      </c>
      <c r="E37" s="2">
        <v>1752262040780</v>
      </c>
      <c r="F37" s="3">
        <f t="shared" si="4"/>
        <v>43.478650000000002</v>
      </c>
      <c r="G37" s="4">
        <v>604</v>
      </c>
      <c r="H37" s="4">
        <v>802</v>
      </c>
      <c r="I37" s="16">
        <f t="shared" si="5"/>
        <v>1</v>
      </c>
      <c r="J37" s="2" t="str">
        <f t="shared" si="6"/>
        <v/>
      </c>
      <c r="K37" s="16" t="str">
        <f t="shared" si="7"/>
        <v>Male</v>
      </c>
      <c r="L37" s="18">
        <v>1</v>
      </c>
    </row>
    <row r="38" spans="1:12" x14ac:dyDescent="0.2">
      <c r="A38" s="2">
        <v>41227</v>
      </c>
      <c r="B38" s="2">
        <v>32</v>
      </c>
      <c r="C38" s="2">
        <v>2</v>
      </c>
      <c r="D38" s="2">
        <v>1752260510657</v>
      </c>
      <c r="E38" s="2">
        <v>1752263284719</v>
      </c>
      <c r="F38" s="3">
        <f t="shared" si="4"/>
        <v>46.234366666666666</v>
      </c>
      <c r="G38" s="4">
        <v>214</v>
      </c>
      <c r="H38" s="4">
        <v>160</v>
      </c>
      <c r="I38" s="16">
        <f t="shared" si="5"/>
        <v>1</v>
      </c>
      <c r="J38" s="2" t="str">
        <f t="shared" si="6"/>
        <v/>
      </c>
      <c r="K38" s="16" t="str">
        <f t="shared" si="7"/>
        <v>Male</v>
      </c>
      <c r="L38" s="18">
        <v>1</v>
      </c>
    </row>
    <row r="39" spans="1:12" x14ac:dyDescent="0.2">
      <c r="A39" s="2">
        <v>41384</v>
      </c>
      <c r="B39" s="2">
        <v>23</v>
      </c>
      <c r="C39" s="2">
        <v>2</v>
      </c>
      <c r="D39" s="2">
        <v>1752416777368</v>
      </c>
      <c r="E39" s="2">
        <v>1752418123525</v>
      </c>
      <c r="F39" s="3">
        <f t="shared" si="4"/>
        <v>22.435949999999998</v>
      </c>
      <c r="G39" s="4">
        <v>205</v>
      </c>
      <c r="H39" s="4">
        <v>151</v>
      </c>
      <c r="I39" s="16">
        <f t="shared" si="5"/>
        <v>1</v>
      </c>
      <c r="J39" s="2" t="str">
        <f t="shared" si="6"/>
        <v/>
      </c>
      <c r="K39" s="16" t="str">
        <f t="shared" si="7"/>
        <v>Male</v>
      </c>
      <c r="L39" s="18">
        <v>1</v>
      </c>
    </row>
    <row r="40" spans="1:12" x14ac:dyDescent="0.2">
      <c r="A40" s="2">
        <v>41788</v>
      </c>
      <c r="B40" s="2">
        <v>38</v>
      </c>
      <c r="C40" s="2">
        <v>2</v>
      </c>
      <c r="D40" s="2">
        <v>1752416820031</v>
      </c>
      <c r="E40" s="2">
        <v>1752418895374</v>
      </c>
      <c r="F40" s="3">
        <f t="shared" si="4"/>
        <v>34.58905</v>
      </c>
      <c r="G40" s="4">
        <v>346</v>
      </c>
      <c r="H40" s="4">
        <v>481</v>
      </c>
      <c r="I40" s="16">
        <f t="shared" si="5"/>
        <v>1</v>
      </c>
      <c r="J40" s="2" t="str">
        <f t="shared" si="6"/>
        <v/>
      </c>
      <c r="K40" s="16" t="str">
        <f t="shared" si="7"/>
        <v>Male</v>
      </c>
      <c r="L40" s="18">
        <v>2</v>
      </c>
    </row>
    <row r="41" spans="1:12" x14ac:dyDescent="0.2">
      <c r="A41" s="2">
        <v>41919</v>
      </c>
      <c r="B41" s="2">
        <v>29</v>
      </c>
      <c r="C41" s="2">
        <v>2</v>
      </c>
      <c r="D41" s="2">
        <v>1752416807257</v>
      </c>
      <c r="E41" s="2">
        <v>1752420750302</v>
      </c>
      <c r="F41" s="3">
        <f t="shared" si="4"/>
        <v>65.717416666666665</v>
      </c>
      <c r="G41" s="4">
        <v>131</v>
      </c>
      <c r="H41" s="4">
        <v>198</v>
      </c>
      <c r="I41" s="16">
        <f t="shared" si="5"/>
        <v>1</v>
      </c>
      <c r="J41" s="2" t="str">
        <f t="shared" si="6"/>
        <v/>
      </c>
      <c r="K41" s="16" t="str">
        <f t="shared" si="7"/>
        <v>Male</v>
      </c>
      <c r="L41" s="18">
        <v>2</v>
      </c>
    </row>
    <row r="42" spans="1:12" x14ac:dyDescent="0.2">
      <c r="A42" s="2">
        <v>43118</v>
      </c>
      <c r="B42" s="2">
        <v>33</v>
      </c>
      <c r="C42" s="2">
        <v>2</v>
      </c>
      <c r="D42" s="2">
        <v>1752416868826</v>
      </c>
      <c r="E42" s="2">
        <v>1752420181689</v>
      </c>
      <c r="F42" s="3">
        <f t="shared" si="4"/>
        <v>55.21438333333333</v>
      </c>
      <c r="G42" s="4">
        <v>389</v>
      </c>
      <c r="H42" s="4">
        <v>421</v>
      </c>
      <c r="I42" s="16">
        <f t="shared" si="5"/>
        <v>1</v>
      </c>
      <c r="J42" s="2" t="str">
        <f t="shared" si="6"/>
        <v/>
      </c>
      <c r="K42" s="16" t="str">
        <f t="shared" si="7"/>
        <v>Male</v>
      </c>
      <c r="L42" s="18">
        <v>2</v>
      </c>
    </row>
    <row r="43" spans="1:12" x14ac:dyDescent="0.2">
      <c r="A43" s="2">
        <v>43294</v>
      </c>
      <c r="B43" s="2">
        <v>36</v>
      </c>
      <c r="C43" s="2">
        <v>2</v>
      </c>
      <c r="D43" s="2">
        <v>1752438536973</v>
      </c>
      <c r="E43" s="2">
        <v>1752440858902</v>
      </c>
      <c r="F43" s="3">
        <f t="shared" si="4"/>
        <v>38.698816666666666</v>
      </c>
      <c r="G43" s="4">
        <v>427</v>
      </c>
      <c r="H43" s="4">
        <v>512</v>
      </c>
      <c r="I43" s="16">
        <f t="shared" si="5"/>
        <v>1</v>
      </c>
      <c r="J43" s="2" t="str">
        <f t="shared" si="6"/>
        <v/>
      </c>
      <c r="K43" s="16" t="str">
        <f t="shared" si="7"/>
        <v>Male</v>
      </c>
      <c r="L43" s="18">
        <v>2</v>
      </c>
    </row>
    <row r="44" spans="1:12" x14ac:dyDescent="0.2">
      <c r="A44" s="2">
        <v>44256</v>
      </c>
      <c r="B44" s="2">
        <v>34</v>
      </c>
      <c r="C44" s="2">
        <v>1</v>
      </c>
      <c r="D44" s="2">
        <v>1752259267945</v>
      </c>
      <c r="E44" s="2">
        <v>1752262616949</v>
      </c>
      <c r="F44" s="3">
        <f t="shared" si="4"/>
        <v>55.816733333333332</v>
      </c>
      <c r="G44" s="4">
        <v>227</v>
      </c>
      <c r="H44" s="4">
        <v>385</v>
      </c>
      <c r="I44" s="16">
        <f t="shared" si="5"/>
        <v>1</v>
      </c>
      <c r="J44" s="2" t="str">
        <f t="shared" si="6"/>
        <v/>
      </c>
      <c r="K44" s="16" t="str">
        <f t="shared" si="7"/>
        <v>Female</v>
      </c>
      <c r="L44" s="18">
        <v>2</v>
      </c>
    </row>
    <row r="45" spans="1:12" x14ac:dyDescent="0.2">
      <c r="A45" s="2">
        <v>46188</v>
      </c>
      <c r="B45" s="2">
        <v>41</v>
      </c>
      <c r="C45" s="2">
        <v>2</v>
      </c>
      <c r="D45" s="2">
        <v>1752259252271</v>
      </c>
      <c r="E45" s="2">
        <v>1752263892206</v>
      </c>
      <c r="F45" s="3">
        <f t="shared" si="4"/>
        <v>77.332250000000002</v>
      </c>
      <c r="G45" s="4">
        <v>441</v>
      </c>
      <c r="H45" s="4">
        <v>472</v>
      </c>
      <c r="I45" s="16">
        <f t="shared" si="5"/>
        <v>1</v>
      </c>
      <c r="J45" s="2" t="str">
        <f t="shared" si="6"/>
        <v/>
      </c>
      <c r="K45" s="16" t="str">
        <f t="shared" si="7"/>
        <v>Male</v>
      </c>
      <c r="L45" s="18">
        <v>1</v>
      </c>
    </row>
    <row r="46" spans="1:12" x14ac:dyDescent="0.2">
      <c r="A46" s="2">
        <v>46509</v>
      </c>
      <c r="B46" s="2">
        <v>37</v>
      </c>
      <c r="C46" s="2">
        <v>2</v>
      </c>
      <c r="D46" s="2">
        <v>1752260872777</v>
      </c>
      <c r="E46" s="2">
        <v>1752263283266</v>
      </c>
      <c r="F46" s="3">
        <f t="shared" si="4"/>
        <v>40.174816666666665</v>
      </c>
      <c r="G46" s="4">
        <v>343</v>
      </c>
      <c r="H46" s="4">
        <v>342</v>
      </c>
      <c r="I46" s="16">
        <f t="shared" si="5"/>
        <v>1</v>
      </c>
      <c r="J46" s="2" t="str">
        <f t="shared" si="6"/>
        <v/>
      </c>
      <c r="K46" s="16" t="str">
        <f t="shared" si="7"/>
        <v>Male</v>
      </c>
      <c r="L46" s="18">
        <v>2</v>
      </c>
    </row>
    <row r="47" spans="1:12" x14ac:dyDescent="0.2">
      <c r="A47" s="2">
        <v>46711</v>
      </c>
      <c r="B47" s="2">
        <v>38</v>
      </c>
      <c r="C47" s="2">
        <v>2</v>
      </c>
      <c r="D47" s="2">
        <v>1752417198300</v>
      </c>
      <c r="E47" s="2">
        <v>1752419492620</v>
      </c>
      <c r="F47" s="3">
        <f t="shared" si="4"/>
        <v>38.238666666666667</v>
      </c>
      <c r="G47" s="4">
        <v>728</v>
      </c>
      <c r="H47" s="4">
        <v>845</v>
      </c>
      <c r="I47" s="16">
        <f t="shared" si="5"/>
        <v>1</v>
      </c>
      <c r="J47" s="2" t="str">
        <f t="shared" si="6"/>
        <v/>
      </c>
      <c r="K47" s="16" t="str">
        <f t="shared" si="7"/>
        <v>Male</v>
      </c>
      <c r="L47" s="18">
        <v>1</v>
      </c>
    </row>
    <row r="48" spans="1:12" x14ac:dyDescent="0.2">
      <c r="A48" s="2">
        <v>46796</v>
      </c>
      <c r="B48" s="2">
        <v>44</v>
      </c>
      <c r="C48" s="2">
        <v>2</v>
      </c>
      <c r="D48" s="2">
        <v>1752259104436</v>
      </c>
      <c r="E48" s="2">
        <v>1752260829463</v>
      </c>
      <c r="F48" s="3">
        <f t="shared" si="4"/>
        <v>28.750450000000001</v>
      </c>
      <c r="G48" s="4">
        <v>389</v>
      </c>
      <c r="H48" s="4">
        <v>253</v>
      </c>
      <c r="I48" s="16">
        <f t="shared" si="5"/>
        <v>1</v>
      </c>
      <c r="J48" s="2" t="str">
        <f t="shared" si="6"/>
        <v/>
      </c>
      <c r="K48" s="16" t="str">
        <f t="shared" si="7"/>
        <v>Male</v>
      </c>
      <c r="L48" s="18">
        <v>2</v>
      </c>
    </row>
    <row r="49" spans="1:12" x14ac:dyDescent="0.2">
      <c r="A49" s="2">
        <v>47804</v>
      </c>
      <c r="B49" s="2">
        <v>36</v>
      </c>
      <c r="C49" s="2">
        <v>1</v>
      </c>
      <c r="D49" s="2">
        <v>1752416903426</v>
      </c>
      <c r="E49" s="2">
        <v>1752419806252</v>
      </c>
      <c r="F49" s="3">
        <f t="shared" si="4"/>
        <v>48.380433333333336</v>
      </c>
      <c r="G49" s="4">
        <v>324</v>
      </c>
      <c r="H49" s="4">
        <v>286</v>
      </c>
      <c r="I49" s="16">
        <f t="shared" si="5"/>
        <v>1</v>
      </c>
      <c r="J49" s="2" t="str">
        <f t="shared" si="6"/>
        <v/>
      </c>
      <c r="K49" s="16" t="str">
        <f t="shared" si="7"/>
        <v>Female</v>
      </c>
      <c r="L49" s="18">
        <v>1</v>
      </c>
    </row>
    <row r="50" spans="1:12" x14ac:dyDescent="0.2">
      <c r="A50" s="2">
        <v>48354</v>
      </c>
      <c r="B50" s="2">
        <v>34</v>
      </c>
      <c r="C50" s="2">
        <v>2</v>
      </c>
      <c r="D50" s="2">
        <v>1752416885883</v>
      </c>
      <c r="E50" s="2">
        <v>1752419712780</v>
      </c>
      <c r="F50" s="3">
        <f t="shared" si="4"/>
        <v>47.11495</v>
      </c>
      <c r="G50" s="4">
        <v>585</v>
      </c>
      <c r="H50" s="4">
        <v>763</v>
      </c>
      <c r="I50" s="16">
        <f t="shared" si="5"/>
        <v>1</v>
      </c>
      <c r="J50" s="2" t="str">
        <f t="shared" si="6"/>
        <v/>
      </c>
      <c r="K50" s="16" t="str">
        <f t="shared" si="7"/>
        <v>Male</v>
      </c>
      <c r="L50" s="18">
        <v>1</v>
      </c>
    </row>
    <row r="51" spans="1:12" x14ac:dyDescent="0.2">
      <c r="A51" s="2">
        <v>49061</v>
      </c>
      <c r="B51" s="2">
        <v>46</v>
      </c>
      <c r="C51" s="2">
        <v>1</v>
      </c>
      <c r="D51" s="2">
        <v>1752416904537</v>
      </c>
      <c r="E51" s="2">
        <v>1752420214968</v>
      </c>
      <c r="F51" s="3">
        <f t="shared" si="4"/>
        <v>55.173850000000002</v>
      </c>
      <c r="G51" s="4">
        <v>1007</v>
      </c>
      <c r="H51" s="4">
        <v>1056</v>
      </c>
      <c r="I51" s="16">
        <f t="shared" si="5"/>
        <v>1</v>
      </c>
      <c r="J51" s="2" t="str">
        <f t="shared" si="6"/>
        <v/>
      </c>
      <c r="K51" s="16" t="str">
        <f t="shared" si="7"/>
        <v>Female</v>
      </c>
      <c r="L51" s="18">
        <v>1</v>
      </c>
    </row>
    <row r="52" spans="1:12" x14ac:dyDescent="0.2">
      <c r="A52" s="2">
        <v>49157</v>
      </c>
      <c r="B52" s="2">
        <v>44</v>
      </c>
      <c r="C52" s="2">
        <v>2</v>
      </c>
      <c r="D52" s="2">
        <v>1752417008406</v>
      </c>
      <c r="E52" s="2">
        <v>1752419124174</v>
      </c>
      <c r="F52" s="3">
        <f t="shared" si="4"/>
        <v>35.262799999999999</v>
      </c>
      <c r="G52" s="4">
        <v>214</v>
      </c>
      <c r="H52" s="4">
        <v>353</v>
      </c>
      <c r="I52" s="16">
        <f t="shared" si="5"/>
        <v>1</v>
      </c>
      <c r="J52" s="2" t="str">
        <f t="shared" si="6"/>
        <v/>
      </c>
      <c r="K52" s="16" t="str">
        <f t="shared" si="7"/>
        <v>Male</v>
      </c>
      <c r="L52" s="18">
        <v>1</v>
      </c>
    </row>
    <row r="53" spans="1:12" x14ac:dyDescent="0.2">
      <c r="A53" s="2">
        <v>50861</v>
      </c>
      <c r="B53" s="2">
        <v>38</v>
      </c>
      <c r="C53" s="2">
        <v>2</v>
      </c>
      <c r="D53" s="2">
        <v>1752416788306</v>
      </c>
      <c r="E53" s="2">
        <v>1752417724810</v>
      </c>
      <c r="F53" s="3">
        <f t="shared" si="4"/>
        <v>15.6084</v>
      </c>
      <c r="G53" s="4">
        <v>85</v>
      </c>
      <c r="H53" s="4">
        <v>104</v>
      </c>
      <c r="I53" s="16">
        <f t="shared" si="5"/>
        <v>0</v>
      </c>
      <c r="J53" s="2" t="str">
        <f t="shared" si="6"/>
        <v>too few words</v>
      </c>
      <c r="K53" s="16" t="str">
        <f t="shared" si="7"/>
        <v>Male</v>
      </c>
      <c r="L53" s="18">
        <v>1</v>
      </c>
    </row>
    <row r="54" spans="1:12" x14ac:dyDescent="0.2">
      <c r="A54" s="2">
        <v>50862</v>
      </c>
      <c r="B54" s="2">
        <v>49</v>
      </c>
      <c r="C54" s="2">
        <v>2</v>
      </c>
      <c r="D54" s="2">
        <v>1752417399879</v>
      </c>
      <c r="E54" s="2">
        <v>1752419206071</v>
      </c>
      <c r="F54" s="3">
        <f t="shared" si="4"/>
        <v>30.103200000000001</v>
      </c>
      <c r="G54" s="4">
        <v>210</v>
      </c>
      <c r="H54" s="4">
        <v>310</v>
      </c>
      <c r="I54" s="16">
        <f t="shared" si="5"/>
        <v>1</v>
      </c>
      <c r="J54" s="2" t="str">
        <f t="shared" si="6"/>
        <v/>
      </c>
      <c r="K54" s="16" t="str">
        <f t="shared" si="7"/>
        <v>Male</v>
      </c>
      <c r="L54" s="18">
        <v>1</v>
      </c>
    </row>
    <row r="55" spans="1:12" x14ac:dyDescent="0.2">
      <c r="A55" s="2">
        <v>50895</v>
      </c>
      <c r="B55" s="2">
        <v>37</v>
      </c>
      <c r="C55" s="2">
        <v>1</v>
      </c>
      <c r="D55" s="2">
        <v>1752442543836</v>
      </c>
      <c r="E55" s="2">
        <v>1752444019938</v>
      </c>
      <c r="F55" s="3">
        <f t="shared" si="4"/>
        <v>24.601700000000001</v>
      </c>
      <c r="G55" s="4">
        <v>169</v>
      </c>
      <c r="H55" s="4">
        <v>126</v>
      </c>
      <c r="I55" s="16">
        <f t="shared" si="5"/>
        <v>0</v>
      </c>
      <c r="J55" s="2" t="str">
        <f t="shared" si="6"/>
        <v>too few words</v>
      </c>
      <c r="K55" s="16" t="str">
        <f t="shared" si="7"/>
        <v>Female</v>
      </c>
      <c r="L55" s="18">
        <v>2</v>
      </c>
    </row>
    <row r="56" spans="1:12" x14ac:dyDescent="0.2">
      <c r="A56" s="2">
        <v>53025</v>
      </c>
      <c r="B56" s="2">
        <v>26</v>
      </c>
      <c r="C56" s="2">
        <v>2</v>
      </c>
      <c r="D56" s="2">
        <v>1752417067621</v>
      </c>
      <c r="E56" s="2">
        <v>1752420900138</v>
      </c>
      <c r="F56" s="3">
        <f t="shared" si="4"/>
        <v>63.875283333333336</v>
      </c>
      <c r="G56" s="4">
        <v>326</v>
      </c>
      <c r="H56" s="4">
        <v>279</v>
      </c>
      <c r="I56" s="16">
        <f t="shared" si="5"/>
        <v>1</v>
      </c>
      <c r="J56" s="2" t="str">
        <f t="shared" si="6"/>
        <v/>
      </c>
      <c r="K56" s="16" t="str">
        <f t="shared" si="7"/>
        <v>Male</v>
      </c>
      <c r="L56" s="18">
        <v>1</v>
      </c>
    </row>
    <row r="57" spans="1:12" x14ac:dyDescent="0.2">
      <c r="A57" s="2">
        <v>53958</v>
      </c>
      <c r="B57" s="2">
        <v>34</v>
      </c>
      <c r="C57" s="2">
        <v>2</v>
      </c>
      <c r="D57" s="2">
        <v>1752259220657</v>
      </c>
      <c r="E57" s="2">
        <v>1752260774987</v>
      </c>
      <c r="F57" s="3">
        <f t="shared" si="4"/>
        <v>25.9055</v>
      </c>
      <c r="G57" s="4">
        <v>388</v>
      </c>
      <c r="H57" s="4">
        <v>290</v>
      </c>
      <c r="I57" s="16">
        <f t="shared" si="5"/>
        <v>1</v>
      </c>
      <c r="J57" s="2" t="str">
        <f t="shared" si="6"/>
        <v/>
      </c>
      <c r="K57" s="16" t="str">
        <f t="shared" si="7"/>
        <v>Male</v>
      </c>
      <c r="L57" s="18">
        <v>2</v>
      </c>
    </row>
    <row r="58" spans="1:12" x14ac:dyDescent="0.2">
      <c r="A58" s="2">
        <v>54165</v>
      </c>
      <c r="B58" s="2">
        <v>38</v>
      </c>
      <c r="C58" s="2">
        <v>1</v>
      </c>
      <c r="D58" s="2">
        <v>1752259149791</v>
      </c>
      <c r="E58" s="2">
        <v>1752260907469</v>
      </c>
      <c r="F58" s="3">
        <f t="shared" si="4"/>
        <v>29.294633333333334</v>
      </c>
      <c r="G58" s="4">
        <v>340</v>
      </c>
      <c r="H58" s="4">
        <v>351</v>
      </c>
      <c r="I58" s="16">
        <f t="shared" si="5"/>
        <v>1</v>
      </c>
      <c r="J58" s="2" t="str">
        <f t="shared" si="6"/>
        <v/>
      </c>
      <c r="K58" s="16" t="str">
        <f t="shared" si="7"/>
        <v>Female</v>
      </c>
      <c r="L58" s="18">
        <v>1</v>
      </c>
    </row>
    <row r="59" spans="1:12" x14ac:dyDescent="0.2">
      <c r="A59" s="2">
        <v>54409</v>
      </c>
      <c r="B59" s="2">
        <v>42</v>
      </c>
      <c r="C59" s="2">
        <v>1</v>
      </c>
      <c r="D59" s="2">
        <v>1752417041886</v>
      </c>
      <c r="E59" s="2">
        <v>1752419986501</v>
      </c>
      <c r="F59" s="3">
        <f t="shared" si="4"/>
        <v>49.076916666666669</v>
      </c>
      <c r="G59" s="4">
        <v>268</v>
      </c>
      <c r="H59" s="4">
        <v>394</v>
      </c>
      <c r="I59" s="16">
        <f t="shared" si="5"/>
        <v>1</v>
      </c>
      <c r="J59" s="2" t="str">
        <f t="shared" si="6"/>
        <v/>
      </c>
      <c r="K59" s="16" t="str">
        <f t="shared" si="7"/>
        <v>Female</v>
      </c>
      <c r="L59" s="18">
        <v>2</v>
      </c>
    </row>
    <row r="60" spans="1:12" x14ac:dyDescent="0.2">
      <c r="A60" s="2">
        <v>54761</v>
      </c>
      <c r="B60" s="2">
        <v>26</v>
      </c>
      <c r="C60" s="2">
        <v>1</v>
      </c>
      <c r="D60" s="2">
        <v>1752438548614</v>
      </c>
      <c r="E60" s="2">
        <v>1752440954120</v>
      </c>
      <c r="F60" s="3">
        <f t="shared" si="4"/>
        <v>40.091766666666665</v>
      </c>
      <c r="G60" s="4">
        <v>479</v>
      </c>
      <c r="H60" s="4">
        <v>278</v>
      </c>
      <c r="I60" s="16">
        <f t="shared" si="5"/>
        <v>1</v>
      </c>
      <c r="J60" s="2" t="str">
        <f t="shared" si="6"/>
        <v/>
      </c>
      <c r="K60" s="16" t="str">
        <f t="shared" si="7"/>
        <v>Female</v>
      </c>
      <c r="L60" s="18">
        <v>2</v>
      </c>
    </row>
    <row r="61" spans="1:12" x14ac:dyDescent="0.2">
      <c r="A61" s="2">
        <v>55599</v>
      </c>
      <c r="B61" s="2">
        <v>45</v>
      </c>
      <c r="C61" s="2">
        <v>1</v>
      </c>
      <c r="D61" s="2">
        <v>1752416845924</v>
      </c>
      <c r="E61" s="2">
        <v>1752419308262</v>
      </c>
      <c r="F61" s="3">
        <f t="shared" si="4"/>
        <v>41.038966666666667</v>
      </c>
      <c r="G61" s="4">
        <v>397</v>
      </c>
      <c r="H61" s="4">
        <v>577</v>
      </c>
      <c r="I61" s="16">
        <f t="shared" si="5"/>
        <v>1</v>
      </c>
      <c r="J61" s="2" t="str">
        <f t="shared" si="6"/>
        <v/>
      </c>
      <c r="K61" s="16" t="str">
        <f t="shared" si="7"/>
        <v>Female</v>
      </c>
      <c r="L61" s="18">
        <v>1</v>
      </c>
    </row>
    <row r="62" spans="1:12" x14ac:dyDescent="0.2">
      <c r="A62" s="2">
        <v>59088</v>
      </c>
      <c r="B62" s="2">
        <v>25</v>
      </c>
      <c r="C62" s="2">
        <v>1</v>
      </c>
      <c r="D62" s="2">
        <v>1752416921807</v>
      </c>
      <c r="E62" s="2">
        <v>1752420945403</v>
      </c>
      <c r="F62" s="3">
        <f t="shared" si="4"/>
        <v>67.059933333333333</v>
      </c>
      <c r="G62" s="4">
        <v>773</v>
      </c>
      <c r="H62" s="4">
        <v>574</v>
      </c>
      <c r="I62" s="16">
        <f t="shared" si="5"/>
        <v>1</v>
      </c>
      <c r="J62" s="2" t="str">
        <f t="shared" si="6"/>
        <v/>
      </c>
      <c r="K62" s="16" t="str">
        <f t="shared" si="7"/>
        <v>Female</v>
      </c>
      <c r="L62" s="18">
        <v>1</v>
      </c>
    </row>
    <row r="63" spans="1:12" x14ac:dyDescent="0.2">
      <c r="A63" s="2">
        <v>59741</v>
      </c>
      <c r="B63" s="2">
        <v>31</v>
      </c>
      <c r="C63" s="2">
        <v>1</v>
      </c>
      <c r="D63" s="2">
        <v>1752259735870</v>
      </c>
      <c r="E63" s="2">
        <v>1752261719024</v>
      </c>
      <c r="F63" s="3">
        <f t="shared" si="4"/>
        <v>33.052566666666664</v>
      </c>
      <c r="G63" s="4">
        <v>139</v>
      </c>
      <c r="H63" s="4">
        <v>263</v>
      </c>
      <c r="I63" s="16">
        <f t="shared" si="5"/>
        <v>1</v>
      </c>
      <c r="J63" s="2" t="str">
        <f t="shared" si="6"/>
        <v/>
      </c>
      <c r="K63" s="16" t="str">
        <f t="shared" si="7"/>
        <v>Female</v>
      </c>
      <c r="L63" s="18">
        <v>2</v>
      </c>
    </row>
    <row r="64" spans="1:12" x14ac:dyDescent="0.2">
      <c r="A64" s="2">
        <v>61444</v>
      </c>
      <c r="B64" s="2">
        <v>28</v>
      </c>
      <c r="C64" s="2">
        <v>2</v>
      </c>
      <c r="D64" s="2">
        <v>1752268360766</v>
      </c>
      <c r="E64" s="2">
        <v>1752270066417</v>
      </c>
      <c r="F64" s="3">
        <f t="shared" si="4"/>
        <v>28.427516666666666</v>
      </c>
      <c r="G64" s="4">
        <v>262</v>
      </c>
      <c r="H64" s="4">
        <v>223</v>
      </c>
      <c r="I64" s="16">
        <f t="shared" si="5"/>
        <v>1</v>
      </c>
      <c r="J64" s="2" t="str">
        <f t="shared" si="6"/>
        <v/>
      </c>
      <c r="K64" s="16" t="str">
        <f t="shared" si="7"/>
        <v>Male</v>
      </c>
      <c r="L64" s="18">
        <v>1</v>
      </c>
    </row>
    <row r="65" spans="1:12" x14ac:dyDescent="0.2">
      <c r="A65" s="2">
        <v>62828</v>
      </c>
      <c r="B65" s="2">
        <v>29</v>
      </c>
      <c r="C65" s="2">
        <v>2</v>
      </c>
      <c r="D65" s="2">
        <v>1752416939719</v>
      </c>
      <c r="E65" s="2">
        <v>1752420333621</v>
      </c>
      <c r="F65" s="3">
        <f t="shared" si="4"/>
        <v>56.565033333333332</v>
      </c>
      <c r="G65" s="4">
        <v>271</v>
      </c>
      <c r="H65" s="4">
        <v>544</v>
      </c>
      <c r="I65" s="16">
        <f t="shared" si="5"/>
        <v>1</v>
      </c>
      <c r="J65" s="2" t="str">
        <f t="shared" si="6"/>
        <v/>
      </c>
      <c r="K65" s="16" t="str">
        <f t="shared" si="7"/>
        <v>Male</v>
      </c>
      <c r="L65" s="18">
        <v>1</v>
      </c>
    </row>
    <row r="66" spans="1:12" x14ac:dyDescent="0.2">
      <c r="A66" s="2">
        <v>63092</v>
      </c>
      <c r="B66" s="2">
        <v>29</v>
      </c>
      <c r="C66" s="2">
        <v>2</v>
      </c>
      <c r="D66" s="2">
        <v>1752260357864</v>
      </c>
      <c r="E66" s="2">
        <v>1752264416520</v>
      </c>
      <c r="F66" s="3">
        <f t="shared" ref="F66:F97" si="8">(E66-D66)/60000</f>
        <v>67.644266666666667</v>
      </c>
      <c r="G66" s="4">
        <v>285</v>
      </c>
      <c r="H66" s="4">
        <v>264</v>
      </c>
      <c r="I66" s="16">
        <f t="shared" ref="I66:I97" si="9">IF(AND(G66&gt;=$O$2,H66&gt;=$O$2),1,0)</f>
        <v>1</v>
      </c>
      <c r="J66" s="2" t="str">
        <f t="shared" ref="J66:J97" si="10">IF(I66=1,"","too few words")</f>
        <v/>
      </c>
      <c r="K66" s="16" t="str">
        <f t="shared" ref="K66:K101" si="11">IF(C66=1,"Female",IF(C66=2,"Male","Code 3 (unconfirmed)"))</f>
        <v>Male</v>
      </c>
      <c r="L66" s="18">
        <v>1</v>
      </c>
    </row>
    <row r="67" spans="1:12" x14ac:dyDescent="0.2">
      <c r="A67" s="2">
        <v>63396</v>
      </c>
      <c r="B67" s="2">
        <v>22</v>
      </c>
      <c r="C67" s="2">
        <v>2</v>
      </c>
      <c r="D67" s="2">
        <v>1752424143798</v>
      </c>
      <c r="E67" s="2">
        <v>1752426724525</v>
      </c>
      <c r="F67" s="3">
        <f t="shared" si="8"/>
        <v>43.012116666666664</v>
      </c>
      <c r="G67" s="4">
        <v>562</v>
      </c>
      <c r="H67" s="4">
        <v>538</v>
      </c>
      <c r="I67" s="16">
        <f t="shared" si="9"/>
        <v>1</v>
      </c>
      <c r="J67" s="2" t="str">
        <f t="shared" si="10"/>
        <v/>
      </c>
      <c r="K67" s="16" t="str">
        <f t="shared" si="11"/>
        <v>Male</v>
      </c>
      <c r="L67" s="18">
        <v>2</v>
      </c>
    </row>
    <row r="68" spans="1:12" x14ac:dyDescent="0.2">
      <c r="A68" s="2">
        <v>63854</v>
      </c>
      <c r="B68" s="2">
        <v>24</v>
      </c>
      <c r="C68" s="2">
        <v>1</v>
      </c>
      <c r="D68" s="2">
        <v>1752417077781</v>
      </c>
      <c r="E68" s="2">
        <v>1752420115580</v>
      </c>
      <c r="F68" s="3">
        <f t="shared" si="8"/>
        <v>50.629983333333335</v>
      </c>
      <c r="G68" s="4">
        <v>794</v>
      </c>
      <c r="H68" s="4">
        <v>578</v>
      </c>
      <c r="I68" s="16">
        <f t="shared" si="9"/>
        <v>1</v>
      </c>
      <c r="J68" s="2" t="str">
        <f t="shared" si="10"/>
        <v/>
      </c>
      <c r="K68" s="16" t="str">
        <f t="shared" si="11"/>
        <v>Female</v>
      </c>
      <c r="L68" s="18">
        <v>2</v>
      </c>
    </row>
    <row r="69" spans="1:12" x14ac:dyDescent="0.2">
      <c r="A69" s="2">
        <v>65180</v>
      </c>
      <c r="B69" s="2">
        <v>40</v>
      </c>
      <c r="C69" s="2">
        <v>2</v>
      </c>
      <c r="D69" s="2">
        <v>1752259496929</v>
      </c>
      <c r="E69" s="2">
        <v>1752264072304</v>
      </c>
      <c r="F69" s="3">
        <f t="shared" si="8"/>
        <v>76.256249999999994</v>
      </c>
      <c r="G69" s="4">
        <v>205</v>
      </c>
      <c r="H69" s="4">
        <v>195</v>
      </c>
      <c r="I69" s="16">
        <f t="shared" si="9"/>
        <v>1</v>
      </c>
      <c r="J69" s="2" t="str">
        <f t="shared" si="10"/>
        <v/>
      </c>
      <c r="K69" s="16" t="str">
        <f t="shared" si="11"/>
        <v>Male</v>
      </c>
      <c r="L69" s="18">
        <v>2</v>
      </c>
    </row>
    <row r="70" spans="1:12" x14ac:dyDescent="0.2">
      <c r="A70" s="2">
        <v>65534</v>
      </c>
      <c r="B70" s="2">
        <v>44</v>
      </c>
      <c r="C70" s="2">
        <v>1</v>
      </c>
      <c r="D70" s="2">
        <v>1752417028868</v>
      </c>
      <c r="E70" s="2">
        <v>1752418919028</v>
      </c>
      <c r="F70" s="3">
        <f t="shared" si="8"/>
        <v>31.502666666666666</v>
      </c>
      <c r="G70" s="4">
        <v>302</v>
      </c>
      <c r="H70" s="4">
        <v>302</v>
      </c>
      <c r="I70" s="16">
        <f t="shared" si="9"/>
        <v>1</v>
      </c>
      <c r="J70" s="2" t="str">
        <f t="shared" si="10"/>
        <v/>
      </c>
      <c r="K70" s="16" t="str">
        <f t="shared" si="11"/>
        <v>Female</v>
      </c>
      <c r="L70" s="18">
        <v>2</v>
      </c>
    </row>
    <row r="71" spans="1:12" x14ac:dyDescent="0.2">
      <c r="A71" s="2">
        <v>65978</v>
      </c>
      <c r="B71" s="2">
        <v>26</v>
      </c>
      <c r="C71" s="2">
        <v>2</v>
      </c>
      <c r="D71" s="2">
        <v>1752259119585</v>
      </c>
      <c r="E71" s="2">
        <v>1752261730572</v>
      </c>
      <c r="F71" s="3">
        <f t="shared" si="8"/>
        <v>43.516449999999999</v>
      </c>
      <c r="G71" s="4">
        <v>371</v>
      </c>
      <c r="H71" s="4">
        <v>604</v>
      </c>
      <c r="I71" s="16">
        <f t="shared" si="9"/>
        <v>1</v>
      </c>
      <c r="J71" s="2" t="str">
        <f t="shared" si="10"/>
        <v/>
      </c>
      <c r="K71" s="16" t="str">
        <f t="shared" si="11"/>
        <v>Male</v>
      </c>
      <c r="L71" s="18">
        <v>1</v>
      </c>
    </row>
    <row r="72" spans="1:12" x14ac:dyDescent="0.2">
      <c r="A72" s="2">
        <v>67900</v>
      </c>
      <c r="B72" s="2">
        <v>37</v>
      </c>
      <c r="C72" s="2">
        <v>2</v>
      </c>
      <c r="D72" s="2">
        <v>1752418343995</v>
      </c>
      <c r="E72" s="2">
        <v>1752419536686</v>
      </c>
      <c r="F72" s="3">
        <f t="shared" si="8"/>
        <v>19.878183333333332</v>
      </c>
      <c r="G72" s="4">
        <v>173</v>
      </c>
      <c r="H72" s="4">
        <v>142</v>
      </c>
      <c r="I72" s="16">
        <f t="shared" si="9"/>
        <v>1</v>
      </c>
      <c r="J72" s="2" t="str">
        <f t="shared" si="10"/>
        <v/>
      </c>
      <c r="K72" s="16" t="str">
        <f t="shared" si="11"/>
        <v>Male</v>
      </c>
      <c r="L72" s="18">
        <v>2</v>
      </c>
    </row>
    <row r="73" spans="1:12" x14ac:dyDescent="0.2">
      <c r="A73" s="2">
        <v>69820</v>
      </c>
      <c r="B73" s="2">
        <v>35</v>
      </c>
      <c r="C73" s="2">
        <v>1</v>
      </c>
      <c r="D73" s="2">
        <v>1752416897844</v>
      </c>
      <c r="E73" s="2">
        <v>1752421234485</v>
      </c>
      <c r="F73" s="3">
        <f t="shared" si="8"/>
        <v>72.277349999999998</v>
      </c>
      <c r="G73" s="4">
        <v>841</v>
      </c>
      <c r="H73" s="4">
        <v>866</v>
      </c>
      <c r="I73" s="16">
        <f t="shared" si="9"/>
        <v>1</v>
      </c>
      <c r="J73" s="2" t="str">
        <f t="shared" si="10"/>
        <v/>
      </c>
      <c r="K73" s="16" t="str">
        <f t="shared" si="11"/>
        <v>Female</v>
      </c>
      <c r="L73" s="18">
        <v>2</v>
      </c>
    </row>
    <row r="74" spans="1:12" x14ac:dyDescent="0.2">
      <c r="A74" s="2">
        <v>70424</v>
      </c>
      <c r="B74" s="2">
        <v>31</v>
      </c>
      <c r="C74" s="2">
        <v>1</v>
      </c>
      <c r="D74" s="2">
        <v>1752417074307</v>
      </c>
      <c r="E74" s="2">
        <v>1752420123663</v>
      </c>
      <c r="F74" s="3">
        <f t="shared" si="8"/>
        <v>50.822600000000001</v>
      </c>
      <c r="G74" s="4">
        <v>105</v>
      </c>
      <c r="H74" s="4">
        <v>149</v>
      </c>
      <c r="I74" s="16">
        <f t="shared" si="9"/>
        <v>0</v>
      </c>
      <c r="J74" s="2" t="str">
        <f t="shared" si="10"/>
        <v>too few words</v>
      </c>
      <c r="K74" s="16" t="str">
        <f t="shared" si="11"/>
        <v>Female</v>
      </c>
      <c r="L74" s="18">
        <v>2</v>
      </c>
    </row>
    <row r="75" spans="1:12" x14ac:dyDescent="0.2">
      <c r="A75" s="2">
        <v>71586</v>
      </c>
      <c r="B75" s="2">
        <v>40</v>
      </c>
      <c r="C75" s="2">
        <v>1</v>
      </c>
      <c r="D75" s="2">
        <v>1752259539592</v>
      </c>
      <c r="E75" s="2">
        <v>1752262229019</v>
      </c>
      <c r="F75" s="3">
        <f t="shared" si="8"/>
        <v>44.823783333333331</v>
      </c>
      <c r="G75" s="4">
        <v>471</v>
      </c>
      <c r="H75" s="4">
        <v>454</v>
      </c>
      <c r="I75" s="16">
        <f t="shared" si="9"/>
        <v>1</v>
      </c>
      <c r="J75" s="2" t="str">
        <f t="shared" si="10"/>
        <v/>
      </c>
      <c r="K75" s="16" t="str">
        <f t="shared" si="11"/>
        <v>Female</v>
      </c>
      <c r="L75" s="18">
        <v>1</v>
      </c>
    </row>
    <row r="76" spans="1:12" x14ac:dyDescent="0.2">
      <c r="A76" s="2">
        <v>71591</v>
      </c>
      <c r="B76" s="2">
        <v>32</v>
      </c>
      <c r="C76" s="2">
        <v>1</v>
      </c>
      <c r="D76" s="2">
        <v>1752417316066</v>
      </c>
      <c r="E76" s="2">
        <v>1752420017250</v>
      </c>
      <c r="F76" s="3">
        <f t="shared" si="8"/>
        <v>45.019733333333335</v>
      </c>
      <c r="G76" s="4">
        <v>275</v>
      </c>
      <c r="H76" s="4">
        <v>277</v>
      </c>
      <c r="I76" s="16">
        <f t="shared" si="9"/>
        <v>1</v>
      </c>
      <c r="J76" s="2" t="str">
        <f t="shared" si="10"/>
        <v/>
      </c>
      <c r="K76" s="16" t="str">
        <f t="shared" si="11"/>
        <v>Female</v>
      </c>
      <c r="L76" s="18">
        <v>2</v>
      </c>
    </row>
    <row r="77" spans="1:12" x14ac:dyDescent="0.2">
      <c r="A77" s="2">
        <v>71920</v>
      </c>
      <c r="B77" s="2">
        <v>25</v>
      </c>
      <c r="C77" s="2">
        <v>2</v>
      </c>
      <c r="D77" s="2">
        <v>1752417000458</v>
      </c>
      <c r="E77" s="2">
        <v>1752421277525</v>
      </c>
      <c r="F77" s="3">
        <f t="shared" si="8"/>
        <v>71.284450000000007</v>
      </c>
      <c r="G77" s="4">
        <v>247</v>
      </c>
      <c r="H77" s="4">
        <v>288</v>
      </c>
      <c r="I77" s="16">
        <f t="shared" si="9"/>
        <v>1</v>
      </c>
      <c r="J77" s="2" t="str">
        <f t="shared" si="10"/>
        <v/>
      </c>
      <c r="K77" s="16" t="str">
        <f t="shared" si="11"/>
        <v>Male</v>
      </c>
      <c r="L77" s="18">
        <v>1</v>
      </c>
    </row>
    <row r="78" spans="1:12" x14ac:dyDescent="0.2">
      <c r="A78" s="2">
        <v>72945</v>
      </c>
      <c r="B78" s="2">
        <v>31</v>
      </c>
      <c r="C78" s="2">
        <v>2</v>
      </c>
      <c r="D78" s="2">
        <v>1752259265642</v>
      </c>
      <c r="E78" s="2">
        <v>1752262038925</v>
      </c>
      <c r="F78" s="3">
        <f t="shared" si="8"/>
        <v>46.221383333333335</v>
      </c>
      <c r="G78" s="4">
        <v>791</v>
      </c>
      <c r="H78" s="4">
        <v>906</v>
      </c>
      <c r="I78" s="16">
        <f t="shared" si="9"/>
        <v>1</v>
      </c>
      <c r="J78" s="2" t="str">
        <f t="shared" si="10"/>
        <v/>
      </c>
      <c r="K78" s="16" t="str">
        <f t="shared" si="11"/>
        <v>Male</v>
      </c>
      <c r="L78" s="18">
        <v>1</v>
      </c>
    </row>
    <row r="79" spans="1:12" x14ac:dyDescent="0.2">
      <c r="A79" s="2">
        <v>74568</v>
      </c>
      <c r="B79" s="2">
        <v>33</v>
      </c>
      <c r="C79" s="2">
        <v>2</v>
      </c>
      <c r="D79" s="2">
        <v>1752259391120</v>
      </c>
      <c r="E79" s="2">
        <v>1752261453930</v>
      </c>
      <c r="F79" s="3">
        <f t="shared" si="8"/>
        <v>34.380166666666668</v>
      </c>
      <c r="G79" s="4">
        <v>496</v>
      </c>
      <c r="H79" s="4">
        <v>663</v>
      </c>
      <c r="I79" s="16">
        <f t="shared" si="9"/>
        <v>1</v>
      </c>
      <c r="J79" s="2" t="str">
        <f t="shared" si="10"/>
        <v/>
      </c>
      <c r="K79" s="16" t="str">
        <f t="shared" si="11"/>
        <v>Male</v>
      </c>
      <c r="L79" s="18">
        <v>2</v>
      </c>
    </row>
    <row r="80" spans="1:12" x14ac:dyDescent="0.2">
      <c r="A80" s="2">
        <v>76134</v>
      </c>
      <c r="B80" s="2">
        <v>33</v>
      </c>
      <c r="C80" s="2">
        <v>2</v>
      </c>
      <c r="D80" s="2">
        <v>1752259184115</v>
      </c>
      <c r="E80" s="2">
        <v>1752261403822</v>
      </c>
      <c r="F80" s="3">
        <f t="shared" si="8"/>
        <v>36.995116666666668</v>
      </c>
      <c r="G80" s="4">
        <v>746</v>
      </c>
      <c r="H80" s="4">
        <v>450</v>
      </c>
      <c r="I80" s="16">
        <f t="shared" si="9"/>
        <v>1</v>
      </c>
      <c r="J80" s="2" t="str">
        <f t="shared" si="10"/>
        <v/>
      </c>
      <c r="K80" s="16" t="str">
        <f t="shared" si="11"/>
        <v>Male</v>
      </c>
      <c r="L80" s="18">
        <v>1</v>
      </c>
    </row>
    <row r="81" spans="1:12" x14ac:dyDescent="0.2">
      <c r="A81" s="2">
        <v>77117</v>
      </c>
      <c r="B81" s="2">
        <v>49</v>
      </c>
      <c r="C81" s="2">
        <v>2</v>
      </c>
      <c r="D81" s="2">
        <v>1752259958028</v>
      </c>
      <c r="E81" s="2">
        <v>1752264321456</v>
      </c>
      <c r="F81" s="3">
        <f t="shared" si="8"/>
        <v>72.723799999999997</v>
      </c>
      <c r="G81" s="4">
        <v>188</v>
      </c>
      <c r="H81" s="4">
        <v>295</v>
      </c>
      <c r="I81" s="16">
        <f t="shared" si="9"/>
        <v>1</v>
      </c>
      <c r="J81" s="2" t="str">
        <f t="shared" si="10"/>
        <v/>
      </c>
      <c r="K81" s="16" t="str">
        <f t="shared" si="11"/>
        <v>Male</v>
      </c>
      <c r="L81" s="18">
        <v>2</v>
      </c>
    </row>
    <row r="82" spans="1:12" x14ac:dyDescent="0.2">
      <c r="A82" s="2">
        <v>81053</v>
      </c>
      <c r="B82" s="2">
        <v>32</v>
      </c>
      <c r="C82" s="2">
        <v>2</v>
      </c>
      <c r="D82" s="2">
        <v>1752259783142</v>
      </c>
      <c r="E82" s="2">
        <v>1752264104668</v>
      </c>
      <c r="F82" s="3">
        <f t="shared" si="8"/>
        <v>72.025433333333339</v>
      </c>
      <c r="G82" s="4">
        <v>206</v>
      </c>
      <c r="H82" s="4">
        <v>175</v>
      </c>
      <c r="I82" s="16">
        <f t="shared" si="9"/>
        <v>1</v>
      </c>
      <c r="J82" s="2" t="str">
        <f t="shared" si="10"/>
        <v/>
      </c>
      <c r="K82" s="16" t="str">
        <f t="shared" si="11"/>
        <v>Male</v>
      </c>
      <c r="L82" s="18">
        <v>2</v>
      </c>
    </row>
    <row r="83" spans="1:12" x14ac:dyDescent="0.2">
      <c r="A83" s="2">
        <v>82305</v>
      </c>
      <c r="B83" s="2">
        <v>22</v>
      </c>
      <c r="C83" s="2">
        <v>1</v>
      </c>
      <c r="D83" s="2">
        <v>1752259457718</v>
      </c>
      <c r="E83" s="2">
        <v>1752261326733</v>
      </c>
      <c r="F83" s="3">
        <f t="shared" si="8"/>
        <v>31.15025</v>
      </c>
      <c r="G83" s="4">
        <v>626</v>
      </c>
      <c r="H83" s="4">
        <v>605</v>
      </c>
      <c r="I83" s="16">
        <f t="shared" si="9"/>
        <v>1</v>
      </c>
      <c r="J83" s="2" t="str">
        <f t="shared" si="10"/>
        <v/>
      </c>
      <c r="K83" s="16" t="str">
        <f t="shared" si="11"/>
        <v>Female</v>
      </c>
      <c r="L83" s="18">
        <v>2</v>
      </c>
    </row>
    <row r="84" spans="1:12" x14ac:dyDescent="0.2">
      <c r="A84" s="2">
        <v>83111</v>
      </c>
      <c r="B84" s="2">
        <v>24</v>
      </c>
      <c r="C84" s="2">
        <v>2</v>
      </c>
      <c r="D84" s="2">
        <v>1752259889364</v>
      </c>
      <c r="E84" s="2">
        <v>1752263048273</v>
      </c>
      <c r="F84" s="3">
        <f t="shared" si="8"/>
        <v>52.648483333333331</v>
      </c>
      <c r="G84" s="4">
        <v>192</v>
      </c>
      <c r="H84" s="4">
        <v>206</v>
      </c>
      <c r="I84" s="16">
        <f t="shared" si="9"/>
        <v>1</v>
      </c>
      <c r="J84" s="2" t="str">
        <f t="shared" si="10"/>
        <v/>
      </c>
      <c r="K84" s="16" t="str">
        <f t="shared" si="11"/>
        <v>Male</v>
      </c>
      <c r="L84" s="18">
        <v>1</v>
      </c>
    </row>
    <row r="85" spans="1:12" x14ac:dyDescent="0.2">
      <c r="A85" s="2">
        <v>83220</v>
      </c>
      <c r="B85" s="2">
        <v>29</v>
      </c>
      <c r="C85" s="2">
        <v>2</v>
      </c>
      <c r="D85" s="2">
        <v>1752259140565</v>
      </c>
      <c r="E85" s="2">
        <v>1752261511048</v>
      </c>
      <c r="F85" s="3">
        <f t="shared" si="8"/>
        <v>39.508049999999997</v>
      </c>
      <c r="G85" s="4">
        <v>458</v>
      </c>
      <c r="H85" s="4">
        <v>345</v>
      </c>
      <c r="I85" s="16">
        <f t="shared" si="9"/>
        <v>1</v>
      </c>
      <c r="J85" s="2" t="str">
        <f t="shared" si="10"/>
        <v/>
      </c>
      <c r="K85" s="16" t="str">
        <f t="shared" si="11"/>
        <v>Male</v>
      </c>
      <c r="L85" s="18">
        <v>1</v>
      </c>
    </row>
    <row r="86" spans="1:12" x14ac:dyDescent="0.2">
      <c r="A86" s="2">
        <v>84409</v>
      </c>
      <c r="B86" s="2">
        <v>28</v>
      </c>
      <c r="C86" s="2">
        <v>1</v>
      </c>
      <c r="D86" s="2">
        <v>1752416845150</v>
      </c>
      <c r="E86" s="2">
        <v>1752418170100</v>
      </c>
      <c r="F86" s="3">
        <f t="shared" si="8"/>
        <v>22.0825</v>
      </c>
      <c r="G86" s="4">
        <v>201</v>
      </c>
      <c r="H86" s="4">
        <v>273</v>
      </c>
      <c r="I86" s="16">
        <f t="shared" si="9"/>
        <v>1</v>
      </c>
      <c r="J86" s="2" t="str">
        <f t="shared" si="10"/>
        <v/>
      </c>
      <c r="K86" s="16" t="str">
        <f t="shared" si="11"/>
        <v>Female</v>
      </c>
      <c r="L86" s="18">
        <v>2</v>
      </c>
    </row>
    <row r="87" spans="1:12" x14ac:dyDescent="0.2">
      <c r="A87" s="2">
        <v>87091</v>
      </c>
      <c r="B87" s="2">
        <v>33</v>
      </c>
      <c r="C87" s="2">
        <v>1</v>
      </c>
      <c r="D87" s="2">
        <v>1752417839723</v>
      </c>
      <c r="E87" s="2">
        <v>1752421853688</v>
      </c>
      <c r="F87" s="3">
        <f t="shared" si="8"/>
        <v>66.899416666666667</v>
      </c>
      <c r="G87" s="4">
        <v>152</v>
      </c>
      <c r="H87" s="4">
        <v>374</v>
      </c>
      <c r="I87" s="16">
        <f t="shared" si="9"/>
        <v>1</v>
      </c>
      <c r="J87" s="2" t="str">
        <f t="shared" si="10"/>
        <v/>
      </c>
      <c r="K87" s="16" t="str">
        <f t="shared" si="11"/>
        <v>Female</v>
      </c>
      <c r="L87" s="18">
        <v>2</v>
      </c>
    </row>
    <row r="88" spans="1:12" x14ac:dyDescent="0.2">
      <c r="A88" s="2">
        <v>87842</v>
      </c>
      <c r="B88" s="2">
        <v>48</v>
      </c>
      <c r="C88" s="2">
        <v>2</v>
      </c>
      <c r="D88" s="2">
        <v>1752438433609</v>
      </c>
      <c r="E88" s="2">
        <v>1752440662214</v>
      </c>
      <c r="F88" s="3">
        <f t="shared" si="8"/>
        <v>37.143416666666667</v>
      </c>
      <c r="G88" s="4">
        <v>262</v>
      </c>
      <c r="H88" s="4">
        <v>388</v>
      </c>
      <c r="I88" s="16">
        <f t="shared" si="9"/>
        <v>1</v>
      </c>
      <c r="J88" s="2" t="str">
        <f t="shared" si="10"/>
        <v/>
      </c>
      <c r="K88" s="16" t="str">
        <f t="shared" si="11"/>
        <v>Male</v>
      </c>
      <c r="L88" s="18">
        <v>1</v>
      </c>
    </row>
    <row r="89" spans="1:12" x14ac:dyDescent="0.2">
      <c r="A89" s="2">
        <v>88009</v>
      </c>
      <c r="B89" s="2">
        <v>37</v>
      </c>
      <c r="C89" s="2">
        <v>1</v>
      </c>
      <c r="D89" s="2">
        <v>1752259136278</v>
      </c>
      <c r="E89" s="2">
        <v>1752261467947</v>
      </c>
      <c r="F89" s="3">
        <f t="shared" si="8"/>
        <v>38.861150000000002</v>
      </c>
      <c r="G89" s="4">
        <v>155</v>
      </c>
      <c r="H89" s="4">
        <v>381</v>
      </c>
      <c r="I89" s="16">
        <f t="shared" si="9"/>
        <v>1</v>
      </c>
      <c r="J89" s="2" t="str">
        <f t="shared" si="10"/>
        <v/>
      </c>
      <c r="K89" s="16" t="str">
        <f t="shared" si="11"/>
        <v>Female</v>
      </c>
      <c r="L89" s="18">
        <v>2</v>
      </c>
    </row>
    <row r="90" spans="1:12" x14ac:dyDescent="0.2">
      <c r="A90" s="2">
        <v>88147</v>
      </c>
      <c r="B90" s="2">
        <v>45</v>
      </c>
      <c r="C90" s="2">
        <v>1</v>
      </c>
      <c r="D90" s="2">
        <v>1752259246597</v>
      </c>
      <c r="E90" s="2">
        <v>1752261396866</v>
      </c>
      <c r="F90" s="3">
        <f t="shared" si="8"/>
        <v>35.837816666666669</v>
      </c>
      <c r="G90" s="4">
        <v>186</v>
      </c>
      <c r="H90" s="4">
        <v>206</v>
      </c>
      <c r="I90" s="16">
        <f t="shared" si="9"/>
        <v>1</v>
      </c>
      <c r="J90" s="2" t="str">
        <f t="shared" si="10"/>
        <v/>
      </c>
      <c r="K90" s="16" t="str">
        <f t="shared" si="11"/>
        <v>Female</v>
      </c>
      <c r="L90" s="18">
        <v>1</v>
      </c>
    </row>
    <row r="91" spans="1:12" x14ac:dyDescent="0.2">
      <c r="A91" s="2">
        <v>89703</v>
      </c>
      <c r="B91" s="2">
        <v>27</v>
      </c>
      <c r="C91" s="2">
        <v>2</v>
      </c>
      <c r="D91" s="2">
        <v>1752416828020</v>
      </c>
      <c r="E91" s="2">
        <v>1752418820106</v>
      </c>
      <c r="F91" s="3">
        <f t="shared" si="8"/>
        <v>33.201433333333334</v>
      </c>
      <c r="G91" s="4">
        <v>329</v>
      </c>
      <c r="H91" s="4">
        <v>197</v>
      </c>
      <c r="I91" s="16">
        <f t="shared" si="9"/>
        <v>1</v>
      </c>
      <c r="J91" s="2" t="str">
        <f t="shared" si="10"/>
        <v/>
      </c>
      <c r="K91" s="16" t="str">
        <f t="shared" si="11"/>
        <v>Male</v>
      </c>
      <c r="L91" s="18">
        <v>1</v>
      </c>
    </row>
    <row r="92" spans="1:12" x14ac:dyDescent="0.2">
      <c r="A92" s="2">
        <v>91115</v>
      </c>
      <c r="B92" s="2">
        <v>31</v>
      </c>
      <c r="C92" s="2">
        <v>2</v>
      </c>
      <c r="D92" s="2">
        <v>1752259594730</v>
      </c>
      <c r="E92" s="2">
        <v>1752261911814</v>
      </c>
      <c r="F92" s="3">
        <f t="shared" si="8"/>
        <v>38.618066666666664</v>
      </c>
      <c r="G92" s="4">
        <v>443</v>
      </c>
      <c r="H92" s="4">
        <v>395</v>
      </c>
      <c r="I92" s="16">
        <f t="shared" si="9"/>
        <v>1</v>
      </c>
      <c r="J92" s="2" t="str">
        <f t="shared" si="10"/>
        <v/>
      </c>
      <c r="K92" s="16" t="str">
        <f t="shared" si="11"/>
        <v>Male</v>
      </c>
      <c r="L92" s="18">
        <v>1</v>
      </c>
    </row>
    <row r="93" spans="1:12" x14ac:dyDescent="0.2">
      <c r="A93" s="2">
        <v>91981</v>
      </c>
      <c r="B93" s="2">
        <v>33</v>
      </c>
      <c r="C93" s="2">
        <v>1</v>
      </c>
      <c r="D93" s="2">
        <v>1752259306309</v>
      </c>
      <c r="E93" s="2">
        <v>1752262414603</v>
      </c>
      <c r="F93" s="3">
        <f t="shared" si="8"/>
        <v>51.804900000000004</v>
      </c>
      <c r="G93" s="4">
        <v>489</v>
      </c>
      <c r="H93" s="4">
        <v>677</v>
      </c>
      <c r="I93" s="16">
        <f t="shared" si="9"/>
        <v>1</v>
      </c>
      <c r="J93" s="2" t="str">
        <f t="shared" si="10"/>
        <v/>
      </c>
      <c r="K93" s="16" t="str">
        <f t="shared" si="11"/>
        <v>Female</v>
      </c>
      <c r="L93" s="18">
        <v>1</v>
      </c>
    </row>
    <row r="94" spans="1:12" x14ac:dyDescent="0.2">
      <c r="A94" s="2">
        <v>92241</v>
      </c>
      <c r="B94" s="2">
        <v>35</v>
      </c>
      <c r="C94" s="2">
        <v>3</v>
      </c>
      <c r="D94" s="2">
        <v>1752259147533</v>
      </c>
      <c r="E94" s="2">
        <v>1752260726892</v>
      </c>
      <c r="F94" s="3">
        <f t="shared" si="8"/>
        <v>26.322649999999999</v>
      </c>
      <c r="G94" s="4">
        <v>328</v>
      </c>
      <c r="H94" s="4">
        <v>193</v>
      </c>
      <c r="I94" s="16">
        <f t="shared" si="9"/>
        <v>1</v>
      </c>
      <c r="J94" s="2" t="str">
        <f t="shared" si="10"/>
        <v/>
      </c>
      <c r="K94" s="16" t="str">
        <f t="shared" si="11"/>
        <v>Code 3 (unconfirmed)</v>
      </c>
      <c r="L94" s="18">
        <v>1</v>
      </c>
    </row>
    <row r="95" spans="1:12" x14ac:dyDescent="0.2">
      <c r="A95" s="2">
        <v>94161</v>
      </c>
      <c r="B95" s="2">
        <v>20</v>
      </c>
      <c r="C95" s="2">
        <v>2</v>
      </c>
      <c r="D95" s="2">
        <v>1752418537709</v>
      </c>
      <c r="E95" s="2">
        <v>1752423486401</v>
      </c>
      <c r="F95" s="3">
        <f t="shared" si="8"/>
        <v>82.478200000000001</v>
      </c>
      <c r="G95" s="4">
        <v>240</v>
      </c>
      <c r="H95" s="4">
        <v>252</v>
      </c>
      <c r="I95" s="16">
        <f t="shared" si="9"/>
        <v>1</v>
      </c>
      <c r="J95" s="2" t="str">
        <f t="shared" si="10"/>
        <v/>
      </c>
      <c r="K95" s="16" t="str">
        <f t="shared" si="11"/>
        <v>Male</v>
      </c>
      <c r="L95" s="18">
        <v>1</v>
      </c>
    </row>
    <row r="96" spans="1:12" x14ac:dyDescent="0.2">
      <c r="A96" s="2">
        <v>94659</v>
      </c>
      <c r="B96" s="2">
        <v>42</v>
      </c>
      <c r="C96" s="2">
        <v>2</v>
      </c>
      <c r="D96" s="2">
        <v>1752416848196</v>
      </c>
      <c r="E96" s="2">
        <v>1752419707841</v>
      </c>
      <c r="F96" s="3">
        <f t="shared" si="8"/>
        <v>47.66075</v>
      </c>
      <c r="G96" s="4">
        <v>804</v>
      </c>
      <c r="H96" s="4">
        <v>774</v>
      </c>
      <c r="I96" s="16">
        <f t="shared" si="9"/>
        <v>1</v>
      </c>
      <c r="J96" s="2" t="str">
        <f t="shared" si="10"/>
        <v/>
      </c>
      <c r="K96" s="16" t="str">
        <f t="shared" si="11"/>
        <v>Male</v>
      </c>
      <c r="L96" s="18">
        <v>2</v>
      </c>
    </row>
    <row r="97" spans="1:12" x14ac:dyDescent="0.2">
      <c r="A97" s="2">
        <v>95066</v>
      </c>
      <c r="B97" s="2">
        <v>19</v>
      </c>
      <c r="C97" s="2">
        <v>1</v>
      </c>
      <c r="D97" s="2">
        <v>1752259715064</v>
      </c>
      <c r="E97" s="2">
        <v>1752264279467</v>
      </c>
      <c r="F97" s="3">
        <f t="shared" si="8"/>
        <v>76.073383333333339</v>
      </c>
      <c r="G97" s="4">
        <v>447</v>
      </c>
      <c r="H97" s="4">
        <v>417</v>
      </c>
      <c r="I97" s="16">
        <f t="shared" si="9"/>
        <v>1</v>
      </c>
      <c r="J97" s="2" t="str">
        <f t="shared" si="10"/>
        <v/>
      </c>
      <c r="K97" s="16" t="str">
        <f t="shared" si="11"/>
        <v>Female</v>
      </c>
      <c r="L97" s="18">
        <v>1</v>
      </c>
    </row>
    <row r="98" spans="1:12" x14ac:dyDescent="0.2">
      <c r="A98" s="2">
        <v>95835</v>
      </c>
      <c r="B98" s="2">
        <v>46</v>
      </c>
      <c r="C98" s="2">
        <v>2</v>
      </c>
      <c r="D98" s="2">
        <v>1752259294977</v>
      </c>
      <c r="E98" s="2">
        <v>1752261296119</v>
      </c>
      <c r="F98" s="3">
        <f t="shared" ref="F98:F129" si="12">(E98-D98)/60000</f>
        <v>33.352366666666668</v>
      </c>
      <c r="G98" s="4">
        <v>364</v>
      </c>
      <c r="H98" s="4">
        <v>426</v>
      </c>
      <c r="I98" s="16">
        <f t="shared" ref="I98:I129" si="13">IF(AND(G98&gt;=$O$2,H98&gt;=$O$2),1,0)</f>
        <v>1</v>
      </c>
      <c r="J98" s="2" t="str">
        <f t="shared" ref="J98:J129" si="14">IF(I98=1,"","too few words")</f>
        <v/>
      </c>
      <c r="K98" s="16" t="str">
        <f t="shared" si="11"/>
        <v>Male</v>
      </c>
      <c r="L98" s="18">
        <v>1</v>
      </c>
    </row>
    <row r="99" spans="1:12" x14ac:dyDescent="0.2">
      <c r="A99" s="2">
        <v>98498</v>
      </c>
      <c r="B99" s="2">
        <v>43</v>
      </c>
      <c r="C99" s="2">
        <v>2</v>
      </c>
      <c r="D99" s="2">
        <v>1752259149114</v>
      </c>
      <c r="E99" s="2">
        <v>1752261780623</v>
      </c>
      <c r="F99" s="3">
        <f t="shared" si="12"/>
        <v>43.858483333333332</v>
      </c>
      <c r="G99" s="4">
        <v>733</v>
      </c>
      <c r="H99" s="4">
        <v>816</v>
      </c>
      <c r="I99" s="16">
        <f t="shared" si="13"/>
        <v>1</v>
      </c>
      <c r="J99" s="2" t="str">
        <f t="shared" si="14"/>
        <v/>
      </c>
      <c r="K99" s="16" t="str">
        <f t="shared" si="11"/>
        <v>Male</v>
      </c>
      <c r="L99" s="18">
        <v>2</v>
      </c>
    </row>
    <row r="100" spans="1:12" x14ac:dyDescent="0.2">
      <c r="A100" s="2">
        <v>98860</v>
      </c>
      <c r="B100" s="2">
        <v>49</v>
      </c>
      <c r="C100" s="2">
        <v>1</v>
      </c>
      <c r="D100" s="2">
        <v>1752259271876</v>
      </c>
      <c r="E100" s="2">
        <v>1752263247792</v>
      </c>
      <c r="F100" s="3">
        <f t="shared" si="12"/>
        <v>66.265266666666662</v>
      </c>
      <c r="G100" s="4">
        <v>357</v>
      </c>
      <c r="H100" s="4">
        <v>558</v>
      </c>
      <c r="I100" s="16">
        <f t="shared" si="13"/>
        <v>1</v>
      </c>
      <c r="J100" s="2" t="str">
        <f t="shared" si="14"/>
        <v/>
      </c>
      <c r="K100" s="16" t="str">
        <f t="shared" si="11"/>
        <v>Female</v>
      </c>
      <c r="L100" s="18">
        <v>2</v>
      </c>
    </row>
    <row r="101" spans="1:12" x14ac:dyDescent="0.2">
      <c r="A101" s="2">
        <v>99496</v>
      </c>
      <c r="B101" s="2">
        <v>33</v>
      </c>
      <c r="C101" s="2">
        <v>2</v>
      </c>
      <c r="D101" s="2">
        <v>1752416887598</v>
      </c>
      <c r="E101" s="2">
        <v>1752419503633</v>
      </c>
      <c r="F101" s="3">
        <f t="shared" si="12"/>
        <v>43.600583333333333</v>
      </c>
      <c r="G101" s="4">
        <v>469</v>
      </c>
      <c r="H101" s="4">
        <v>486</v>
      </c>
      <c r="I101" s="16">
        <f t="shared" si="13"/>
        <v>1</v>
      </c>
      <c r="J101" s="2" t="str">
        <f t="shared" si="14"/>
        <v/>
      </c>
      <c r="K101" s="16" t="str">
        <f t="shared" si="11"/>
        <v>Male</v>
      </c>
      <c r="L101" s="18">
        <v>1</v>
      </c>
    </row>
    <row r="102" spans="1:12" x14ac:dyDescent="0.2">
      <c r="B102">
        <f>MEDIAN(B2:B101)</f>
        <v>34</v>
      </c>
      <c r="G102">
        <f>MEDIAN(G2:G101)</f>
        <v>360.5</v>
      </c>
      <c r="H102">
        <f>MEDIAN(H2:H101)</f>
        <v>386.5</v>
      </c>
    </row>
  </sheetData>
  <autoFilter ref="A1:L1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6"/>
  <sheetViews>
    <sheetView zoomScale="115" workbookViewId="0">
      <pane xSplit="1" ySplit="1" topLeftCell="AI2" activePane="bottomRight" state="frozen"/>
      <selection pane="topRight"/>
      <selection pane="bottomLeft"/>
      <selection pane="bottomRight" activeCell="AL6" sqref="AL6"/>
    </sheetView>
  </sheetViews>
  <sheetFormatPr baseColWidth="10" defaultColWidth="8.83203125" defaultRowHeight="15" x14ac:dyDescent="0.2"/>
  <cols>
    <col min="1" max="1" width="17" customWidth="1"/>
    <col min="2" max="2" width="20" customWidth="1"/>
    <col min="3" max="3" width="21" customWidth="1"/>
    <col min="4" max="4" width="25" customWidth="1"/>
    <col min="5" max="5" width="19" customWidth="1"/>
    <col min="6" max="6" width="16" customWidth="1"/>
    <col min="7" max="7" width="24" customWidth="1"/>
    <col min="8" max="8" width="25" customWidth="1"/>
    <col min="9" max="9" width="28" customWidth="1"/>
    <col min="10" max="10" width="23" customWidth="1"/>
    <col min="11" max="11" width="20" customWidth="1"/>
    <col min="12" max="12" width="25" customWidth="1"/>
    <col min="13" max="13" width="26" customWidth="1"/>
    <col min="14" max="14" width="28" customWidth="1"/>
    <col min="15" max="15" width="24" customWidth="1"/>
    <col min="16" max="16" width="21" customWidth="1"/>
    <col min="17" max="17" width="25" customWidth="1"/>
    <col min="18" max="18" width="26" customWidth="1"/>
    <col min="19" max="19" width="28" customWidth="1"/>
    <col min="20" max="20" width="24" customWidth="1"/>
    <col min="21" max="21" width="21" customWidth="1"/>
    <col min="22" max="22" width="26" customWidth="1"/>
    <col min="23" max="23" width="27" customWidth="1"/>
    <col min="24" max="24" width="28" customWidth="1"/>
    <col min="25" max="25" width="25" customWidth="1"/>
    <col min="26" max="26" width="22" customWidth="1"/>
    <col min="27" max="27" width="29" customWidth="1"/>
    <col min="28" max="28" width="30" customWidth="1"/>
    <col min="29" max="29" width="34" customWidth="1"/>
    <col min="30" max="30" width="28" customWidth="1"/>
    <col min="31" max="31" width="25" customWidth="1"/>
    <col min="32" max="32" width="30" customWidth="1"/>
    <col min="33" max="33" width="31" customWidth="1"/>
    <col min="34" max="34" width="35" customWidth="1"/>
    <col min="35" max="35" width="29" customWidth="1"/>
    <col min="36" max="36" width="26" customWidth="1"/>
    <col min="38" max="38" width="83" customWidth="1"/>
  </cols>
  <sheetData>
    <row r="1" spans="1:38" x14ac:dyDescent="0.2">
      <c r="A1" s="1" t="s">
        <v>35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26" t="s">
        <v>74</v>
      </c>
      <c r="AB1" s="26" t="s">
        <v>75</v>
      </c>
      <c r="AC1" s="26" t="s">
        <v>76</v>
      </c>
      <c r="AD1" s="26" t="s">
        <v>77</v>
      </c>
      <c r="AE1" s="26" t="s">
        <v>78</v>
      </c>
      <c r="AF1" s="26" t="s">
        <v>79</v>
      </c>
      <c r="AG1" s="26" t="s">
        <v>80</v>
      </c>
      <c r="AH1" s="26" t="s">
        <v>81</v>
      </c>
      <c r="AI1" s="26" t="s">
        <v>82</v>
      </c>
      <c r="AJ1" s="26" t="s">
        <v>83</v>
      </c>
      <c r="AL1" s="5" t="s">
        <v>34</v>
      </c>
    </row>
    <row r="2" spans="1:38" x14ac:dyDescent="0.2">
      <c r="A2" s="2">
        <v>10345</v>
      </c>
      <c r="B2" s="2">
        <v>4.75</v>
      </c>
      <c r="C2" s="2">
        <v>4.5599999999999996</v>
      </c>
      <c r="D2" s="2">
        <v>4.8899999999999997</v>
      </c>
      <c r="E2" s="2">
        <v>2</v>
      </c>
      <c r="F2" s="2">
        <v>4.3</v>
      </c>
      <c r="G2" s="2">
        <v>3.875</v>
      </c>
      <c r="H2" s="2">
        <v>4.4888888888888898</v>
      </c>
      <c r="I2" s="2">
        <v>2.8666666666666698</v>
      </c>
      <c r="J2" s="2">
        <v>1.65</v>
      </c>
      <c r="K2" s="2">
        <v>3.88</v>
      </c>
      <c r="L2" s="2">
        <v>3.9624999999999999</v>
      </c>
      <c r="M2" s="2">
        <v>4.0999999999999996</v>
      </c>
      <c r="N2" s="2">
        <v>3.37777777777778</v>
      </c>
      <c r="O2" s="2">
        <v>1.7625</v>
      </c>
      <c r="P2" s="2">
        <v>3.48</v>
      </c>
      <c r="Q2" s="2">
        <v>4.3250000000000002</v>
      </c>
      <c r="R2" s="2">
        <v>4.3222222222222202</v>
      </c>
      <c r="S2" s="2">
        <v>2.62222222222222</v>
      </c>
      <c r="T2" s="2">
        <v>1.8374999999999999</v>
      </c>
      <c r="U2" s="2">
        <v>4.0199999999999996</v>
      </c>
      <c r="V2" s="2">
        <v>4.4375</v>
      </c>
      <c r="W2" s="2">
        <v>3.5111111111111102</v>
      </c>
      <c r="X2" s="2">
        <v>2.12222222222222</v>
      </c>
      <c r="Y2" s="2">
        <v>2.9375</v>
      </c>
      <c r="Z2" s="2">
        <v>3.42</v>
      </c>
      <c r="AA2" s="27">
        <v>3.9624999999999999</v>
      </c>
      <c r="AB2" s="27">
        <v>4.4444444444444402</v>
      </c>
      <c r="AC2" s="27">
        <v>2.2333333333333298</v>
      </c>
      <c r="AD2" s="27">
        <v>1.8125</v>
      </c>
      <c r="AE2" s="27">
        <v>4.2</v>
      </c>
      <c r="AF2" s="27">
        <v>4.7374999999999998</v>
      </c>
      <c r="AG2" s="27">
        <v>3.8</v>
      </c>
      <c r="AH2" s="27">
        <v>2.5333333333333301</v>
      </c>
      <c r="AI2" s="27">
        <v>1.9125000000000001</v>
      </c>
      <c r="AJ2" s="27">
        <v>3.29</v>
      </c>
      <c r="AL2" s="6" t="s">
        <v>121</v>
      </c>
    </row>
    <row r="3" spans="1:38" x14ac:dyDescent="0.2">
      <c r="A3" s="2">
        <v>11492</v>
      </c>
      <c r="B3" s="2">
        <v>4</v>
      </c>
      <c r="C3" s="2">
        <v>5</v>
      </c>
      <c r="D3" s="2">
        <v>5</v>
      </c>
      <c r="E3" s="2">
        <v>1.25</v>
      </c>
      <c r="F3" s="2">
        <v>4.5999999999999996</v>
      </c>
      <c r="G3" s="2">
        <v>4.3375000000000004</v>
      </c>
      <c r="H3" s="2">
        <v>5</v>
      </c>
      <c r="I3" s="2">
        <v>3.7888888888888901</v>
      </c>
      <c r="J3" s="2">
        <v>1.1125</v>
      </c>
      <c r="K3" s="2">
        <v>3.27</v>
      </c>
      <c r="L3" s="2">
        <v>3.5874999999999999</v>
      </c>
      <c r="M3" s="2">
        <v>4.0888888888888903</v>
      </c>
      <c r="N3" s="2">
        <v>4.3444444444444503</v>
      </c>
      <c r="O3" s="2">
        <v>1.075</v>
      </c>
      <c r="P3" s="2">
        <v>2.9</v>
      </c>
      <c r="Q3" s="2">
        <v>3.95</v>
      </c>
      <c r="R3" s="2">
        <v>4.5555555555555598</v>
      </c>
      <c r="S3" s="2">
        <v>3.1111111111111098</v>
      </c>
      <c r="T3" s="2">
        <v>2.65</v>
      </c>
      <c r="U3" s="2">
        <v>3.55</v>
      </c>
      <c r="V3" s="2">
        <v>3.05</v>
      </c>
      <c r="W3" s="2">
        <v>3.9111111111111101</v>
      </c>
      <c r="X3" s="2">
        <v>3.8333333333333299</v>
      </c>
      <c r="Y3" s="2">
        <v>3.5874999999999999</v>
      </c>
      <c r="Z3" s="2">
        <v>2.94</v>
      </c>
      <c r="AA3" s="27">
        <v>4.8499999999999996</v>
      </c>
      <c r="AB3" s="27">
        <v>4.9777777777777796</v>
      </c>
      <c r="AC3" s="27">
        <v>3.1666666666666701</v>
      </c>
      <c r="AD3" s="27">
        <v>1.075</v>
      </c>
      <c r="AE3" s="27">
        <v>3.09</v>
      </c>
      <c r="AF3" s="27">
        <v>4.0125000000000002</v>
      </c>
      <c r="AG3" s="27">
        <v>4.0111111111111102</v>
      </c>
      <c r="AH3" s="27">
        <v>3.5777777777777802</v>
      </c>
      <c r="AI3" s="27">
        <v>1.1375</v>
      </c>
      <c r="AJ3" s="27">
        <v>2.74</v>
      </c>
      <c r="AL3" s="6" t="s">
        <v>120</v>
      </c>
    </row>
    <row r="4" spans="1:38" x14ac:dyDescent="0.2">
      <c r="A4" s="2">
        <v>12178</v>
      </c>
      <c r="B4" s="2">
        <v>2</v>
      </c>
      <c r="C4" s="2">
        <v>4.22</v>
      </c>
      <c r="D4" s="2">
        <v>5</v>
      </c>
      <c r="E4" s="2">
        <v>2.13</v>
      </c>
      <c r="F4" s="2">
        <v>4</v>
      </c>
      <c r="G4" s="2">
        <v>3.4874999999999998</v>
      </c>
      <c r="H4" s="2">
        <v>4</v>
      </c>
      <c r="I4" s="2">
        <v>3.2222222222222201</v>
      </c>
      <c r="J4" s="2">
        <v>2.0249999999999999</v>
      </c>
      <c r="K4" s="2">
        <v>3.33</v>
      </c>
      <c r="L4" s="2">
        <v>2.7250000000000001</v>
      </c>
      <c r="M4" s="2">
        <v>3.6111111111111098</v>
      </c>
      <c r="N4" s="2">
        <v>4.6111111111111098</v>
      </c>
      <c r="O4" s="2">
        <v>1.7124999999999999</v>
      </c>
      <c r="P4" s="2">
        <v>3.15</v>
      </c>
      <c r="Q4" s="2">
        <v>4.3499999999999996</v>
      </c>
      <c r="R4" s="2">
        <v>2.2555555555555502</v>
      </c>
      <c r="S4" s="2">
        <v>2.7444444444444498</v>
      </c>
      <c r="T4" s="2">
        <v>3.75</v>
      </c>
      <c r="U4" s="2">
        <v>2.98</v>
      </c>
      <c r="V4" s="2">
        <v>3.8875000000000002</v>
      </c>
      <c r="W4" s="2">
        <v>2.1555555555555501</v>
      </c>
      <c r="X4" s="2">
        <v>3.6555555555555599</v>
      </c>
      <c r="Y4" s="2">
        <v>2.9125000000000001</v>
      </c>
      <c r="Z4" s="2">
        <v>2.9</v>
      </c>
      <c r="AA4" s="27">
        <v>3.625</v>
      </c>
      <c r="AB4" s="27">
        <v>3.8666666666666698</v>
      </c>
      <c r="AC4" s="27">
        <v>2.7666666666666702</v>
      </c>
      <c r="AD4" s="27">
        <v>2.7374999999999998</v>
      </c>
      <c r="AE4" s="27">
        <v>3.27</v>
      </c>
      <c r="AF4" s="27">
        <v>3.2374999999999998</v>
      </c>
      <c r="AG4" s="27">
        <v>3.1777777777777798</v>
      </c>
      <c r="AH4" s="27">
        <v>4.2888888888888896</v>
      </c>
      <c r="AI4" s="27">
        <v>2.0750000000000002</v>
      </c>
      <c r="AJ4" s="27">
        <v>3.51</v>
      </c>
      <c r="AL4" s="6"/>
    </row>
    <row r="5" spans="1:38" x14ac:dyDescent="0.2">
      <c r="A5" s="2">
        <v>16042</v>
      </c>
      <c r="B5" s="2">
        <v>2.63</v>
      </c>
      <c r="C5" s="2">
        <v>4.78</v>
      </c>
      <c r="D5" s="2">
        <v>4.8899999999999997</v>
      </c>
      <c r="E5" s="2">
        <v>1.88</v>
      </c>
      <c r="F5" s="2">
        <v>3.4</v>
      </c>
      <c r="G5" s="2">
        <v>3.5750000000000002</v>
      </c>
      <c r="H5" s="2">
        <v>4.68888888888889</v>
      </c>
      <c r="I5" s="2">
        <v>4.1333333333333302</v>
      </c>
      <c r="J5" s="2">
        <v>1.5375000000000001</v>
      </c>
      <c r="K5" s="2">
        <v>3.04</v>
      </c>
      <c r="L5" s="2">
        <v>2.9375</v>
      </c>
      <c r="M5" s="2">
        <v>4.5111111111111102</v>
      </c>
      <c r="N5" s="2">
        <v>3.8</v>
      </c>
      <c r="O5" s="2">
        <v>1.9875</v>
      </c>
      <c r="P5" s="2">
        <v>3.61</v>
      </c>
      <c r="Q5" s="2">
        <v>3.8</v>
      </c>
      <c r="R5" s="2">
        <v>4.3888888888888902</v>
      </c>
      <c r="S5" s="2">
        <v>4</v>
      </c>
      <c r="T5" s="2">
        <v>1.875</v>
      </c>
      <c r="U5" s="2">
        <v>4.01</v>
      </c>
      <c r="V5" s="2">
        <v>3</v>
      </c>
      <c r="W5" s="2">
        <v>3.5222222222222199</v>
      </c>
      <c r="X5" s="2">
        <v>2.1444444444444399</v>
      </c>
      <c r="Y5" s="2">
        <v>3.0249999999999999</v>
      </c>
      <c r="Z5" s="2">
        <v>4.13</v>
      </c>
      <c r="AA5" s="27">
        <v>3.875</v>
      </c>
      <c r="AB5" s="27">
        <v>4.81111111111111</v>
      </c>
      <c r="AC5" s="27">
        <v>4.1111111111111098</v>
      </c>
      <c r="AD5" s="27">
        <v>1.5</v>
      </c>
      <c r="AE5" s="27">
        <v>3.05</v>
      </c>
      <c r="AF5" s="27">
        <v>3.4874999999999998</v>
      </c>
      <c r="AG5" s="27">
        <v>4.4222222222222198</v>
      </c>
      <c r="AH5" s="27">
        <v>3.12222222222222</v>
      </c>
      <c r="AI5" s="27">
        <v>2</v>
      </c>
      <c r="AJ5" s="27">
        <v>3.63</v>
      </c>
      <c r="AL5" s="6"/>
    </row>
    <row r="6" spans="1:38" x14ac:dyDescent="0.2">
      <c r="A6" s="2">
        <v>16234</v>
      </c>
      <c r="B6" s="2">
        <v>1.63</v>
      </c>
      <c r="C6" s="2">
        <v>4.8899999999999997</v>
      </c>
      <c r="D6" s="2">
        <v>4.5599999999999996</v>
      </c>
      <c r="E6" s="2">
        <v>1</v>
      </c>
      <c r="F6" s="2">
        <v>3.5</v>
      </c>
      <c r="G6" s="2">
        <v>2.1875</v>
      </c>
      <c r="H6" s="2">
        <v>3.2555555555555502</v>
      </c>
      <c r="I6" s="2">
        <v>3.7444444444444498</v>
      </c>
      <c r="J6" s="2">
        <v>3.8125</v>
      </c>
      <c r="K6" s="2">
        <v>2.0099999999999998</v>
      </c>
      <c r="L6" s="2">
        <v>2.1749999999999998</v>
      </c>
      <c r="M6" s="2">
        <v>3.24444444444444</v>
      </c>
      <c r="N6" s="2">
        <v>3.6777777777777798</v>
      </c>
      <c r="O6" s="2">
        <v>3.8125</v>
      </c>
      <c r="P6" s="2">
        <v>2.78</v>
      </c>
      <c r="Q6" s="2">
        <v>2.7875000000000001</v>
      </c>
      <c r="R6" s="2">
        <v>3.5777777777777802</v>
      </c>
      <c r="S6" s="2">
        <v>3.9555555555555602</v>
      </c>
      <c r="T6" s="2">
        <v>3.1</v>
      </c>
      <c r="U6" s="2">
        <v>2.0699999999999998</v>
      </c>
      <c r="V6" s="2">
        <v>3.2374999999999998</v>
      </c>
      <c r="W6" s="2">
        <v>2.8555555555555601</v>
      </c>
      <c r="X6" s="2">
        <v>3.0222222222222199</v>
      </c>
      <c r="Y6" s="2">
        <v>4.4749999999999996</v>
      </c>
      <c r="Z6" s="2">
        <v>2.42</v>
      </c>
      <c r="AA6" s="27">
        <v>2.5375000000000001</v>
      </c>
      <c r="AB6" s="27">
        <v>3.4222222222222198</v>
      </c>
      <c r="AC6" s="27">
        <v>3.4666666666666699</v>
      </c>
      <c r="AD6" s="27">
        <v>3.65</v>
      </c>
      <c r="AE6" s="27">
        <v>2.1</v>
      </c>
      <c r="AF6" s="27">
        <v>3.0625</v>
      </c>
      <c r="AG6" s="27">
        <v>2.9666666666666699</v>
      </c>
      <c r="AH6" s="27">
        <v>3.0111111111111102</v>
      </c>
      <c r="AI6" s="27">
        <v>4.2625000000000002</v>
      </c>
      <c r="AJ6" s="27">
        <v>2.87</v>
      </c>
      <c r="AL6" s="6"/>
    </row>
    <row r="7" spans="1:38" x14ac:dyDescent="0.2">
      <c r="A7" s="2">
        <v>17304</v>
      </c>
      <c r="B7" s="2">
        <v>3.5</v>
      </c>
      <c r="C7" s="2">
        <v>4.67</v>
      </c>
      <c r="D7" s="2">
        <v>4.78</v>
      </c>
      <c r="E7" s="2">
        <v>1.88</v>
      </c>
      <c r="F7" s="2">
        <v>4.0999999999999996</v>
      </c>
      <c r="G7" s="2">
        <v>3.1749999999999998</v>
      </c>
      <c r="H7" s="2">
        <v>4.4777777777777796</v>
      </c>
      <c r="I7" s="2">
        <v>2.43333333333333</v>
      </c>
      <c r="J7" s="2">
        <v>1.85</v>
      </c>
      <c r="K7" s="2">
        <v>2.9</v>
      </c>
      <c r="L7" s="2">
        <v>4</v>
      </c>
      <c r="M7" s="2">
        <v>4.7888888888888896</v>
      </c>
      <c r="N7" s="2">
        <v>4.63333333333334</v>
      </c>
      <c r="O7" s="2">
        <v>1.825</v>
      </c>
      <c r="P7" s="2">
        <v>2.73</v>
      </c>
      <c r="Q7" s="2">
        <v>3.3875000000000002</v>
      </c>
      <c r="R7" s="2">
        <v>4</v>
      </c>
      <c r="S7" s="2">
        <v>2.2111111111111099</v>
      </c>
      <c r="T7" s="2">
        <v>2.3374999999999999</v>
      </c>
      <c r="U7" s="2">
        <v>2.38</v>
      </c>
      <c r="V7" s="2">
        <v>4.4375</v>
      </c>
      <c r="W7" s="2">
        <v>4.4000000000000004</v>
      </c>
      <c r="X7" s="2">
        <v>2.8222222222222202</v>
      </c>
      <c r="Y7" s="2">
        <v>1.8875</v>
      </c>
      <c r="Z7" s="2">
        <v>2.36</v>
      </c>
      <c r="AA7" s="27">
        <v>3.7250000000000001</v>
      </c>
      <c r="AB7" s="27">
        <v>4.2222222222222197</v>
      </c>
      <c r="AC7" s="27">
        <v>2.1777777777777798</v>
      </c>
      <c r="AD7" s="27">
        <v>2.5125000000000002</v>
      </c>
      <c r="AE7" s="27">
        <v>3.02</v>
      </c>
      <c r="AF7" s="27">
        <v>4.5250000000000004</v>
      </c>
      <c r="AG7" s="27">
        <v>4.24444444444444</v>
      </c>
      <c r="AH7" s="27">
        <v>4.12222222222222</v>
      </c>
      <c r="AI7" s="27">
        <v>1.6625000000000001</v>
      </c>
      <c r="AJ7" s="27">
        <v>2.57</v>
      </c>
      <c r="AL7" s="6"/>
    </row>
    <row r="8" spans="1:38" x14ac:dyDescent="0.2">
      <c r="A8" s="2">
        <v>18724</v>
      </c>
      <c r="B8" s="2">
        <v>2.38</v>
      </c>
      <c r="C8" s="2">
        <v>3</v>
      </c>
      <c r="D8" s="2">
        <v>3.89</v>
      </c>
      <c r="E8" s="2">
        <v>3.38</v>
      </c>
      <c r="F8" s="2">
        <v>3</v>
      </c>
      <c r="G8" s="2">
        <v>2.3875000000000002</v>
      </c>
      <c r="H8" s="2">
        <v>3.56666666666667</v>
      </c>
      <c r="I8" s="2">
        <v>3.06666666666667</v>
      </c>
      <c r="J8" s="2">
        <v>1.85</v>
      </c>
      <c r="K8" s="2">
        <v>2.0099999999999998</v>
      </c>
      <c r="L8" s="2">
        <v>2.2250000000000001</v>
      </c>
      <c r="M8" s="2">
        <v>3.81111111111111</v>
      </c>
      <c r="N8" s="2">
        <v>3.8333333333333299</v>
      </c>
      <c r="O8" s="2">
        <v>1.95</v>
      </c>
      <c r="P8" s="2">
        <v>2.44</v>
      </c>
      <c r="Q8" s="2">
        <v>3.75</v>
      </c>
      <c r="R8" s="2">
        <v>4.0111111111111102</v>
      </c>
      <c r="S8" s="2">
        <v>3.1111111111111098</v>
      </c>
      <c r="T8" s="2">
        <v>1.9</v>
      </c>
      <c r="U8" s="2">
        <v>3.12</v>
      </c>
      <c r="V8" s="2">
        <v>3</v>
      </c>
      <c r="W8" s="2">
        <v>3.62222222222222</v>
      </c>
      <c r="X8" s="2">
        <v>3.0222222222222199</v>
      </c>
      <c r="Y8" s="2">
        <v>2.8624999999999998</v>
      </c>
      <c r="Z8" s="2">
        <v>2.7</v>
      </c>
      <c r="AA8" s="27">
        <v>2.9375</v>
      </c>
      <c r="AB8" s="27">
        <v>3.7777777777777799</v>
      </c>
      <c r="AC8" s="27">
        <v>2.9666666666666699</v>
      </c>
      <c r="AD8" s="27">
        <v>1.9875</v>
      </c>
      <c r="AE8" s="27">
        <v>2.09</v>
      </c>
      <c r="AF8" s="27">
        <v>2.375</v>
      </c>
      <c r="AG8" s="27">
        <v>3.7777777777777799</v>
      </c>
      <c r="AH8" s="27">
        <v>3.0222222222222199</v>
      </c>
      <c r="AI8" s="27">
        <v>2</v>
      </c>
      <c r="AJ8" s="27">
        <v>2.31</v>
      </c>
      <c r="AL8" s="6"/>
    </row>
    <row r="9" spans="1:38" x14ac:dyDescent="0.2">
      <c r="A9" s="2">
        <v>21566</v>
      </c>
      <c r="B9" s="2">
        <v>2.63</v>
      </c>
      <c r="C9" s="2">
        <v>2.78</v>
      </c>
      <c r="D9" s="2">
        <v>3.22</v>
      </c>
      <c r="E9" s="2">
        <v>2.25</v>
      </c>
      <c r="F9" s="2">
        <v>4.0999999999999996</v>
      </c>
      <c r="G9" s="2">
        <v>3.3</v>
      </c>
      <c r="H9" s="2">
        <v>2.9</v>
      </c>
      <c r="I9" s="2">
        <v>2.31111111111111</v>
      </c>
      <c r="J9" s="2">
        <v>1.1875</v>
      </c>
      <c r="K9" s="2">
        <v>3.32</v>
      </c>
      <c r="L9" s="2">
        <v>3.35</v>
      </c>
      <c r="M9" s="2">
        <v>3.0888888888888899</v>
      </c>
      <c r="N9" s="2">
        <v>3.0777777777777802</v>
      </c>
      <c r="O9" s="2">
        <v>1.4125000000000001</v>
      </c>
      <c r="P9" s="2">
        <v>3.9</v>
      </c>
      <c r="Q9" s="2">
        <v>4.1749999999999998</v>
      </c>
      <c r="R9" s="2">
        <v>2.1111111111111098</v>
      </c>
      <c r="S9" s="2">
        <v>1.98888888888889</v>
      </c>
      <c r="T9" s="2">
        <v>2.625</v>
      </c>
      <c r="U9" s="2">
        <v>2.5299999999999998</v>
      </c>
      <c r="V9" s="2">
        <v>4.55</v>
      </c>
      <c r="W9" s="2">
        <v>3.3555555555555499</v>
      </c>
      <c r="X9" s="2">
        <v>2.4111111111111101</v>
      </c>
      <c r="Y9" s="2">
        <v>3.7875000000000001</v>
      </c>
      <c r="Z9" s="2">
        <v>4.1900000000000004</v>
      </c>
      <c r="AA9" s="27">
        <v>3.9874999999999998</v>
      </c>
      <c r="AB9" s="27">
        <v>2.6777777777777798</v>
      </c>
      <c r="AC9" s="27">
        <v>2.12222222222222</v>
      </c>
      <c r="AD9" s="27">
        <v>1.2625</v>
      </c>
      <c r="AE9" s="27">
        <v>3.2</v>
      </c>
      <c r="AF9" s="27">
        <v>3.9125000000000001</v>
      </c>
      <c r="AG9" s="27">
        <v>3.3555555555555499</v>
      </c>
      <c r="AH9" s="27">
        <v>2.18888888888889</v>
      </c>
      <c r="AI9" s="27">
        <v>1.675</v>
      </c>
      <c r="AJ9" s="27">
        <v>4.08</v>
      </c>
    </row>
    <row r="10" spans="1:38" x14ac:dyDescent="0.2">
      <c r="A10" s="2">
        <v>23105</v>
      </c>
      <c r="B10" s="2">
        <v>2.63</v>
      </c>
      <c r="C10" s="2">
        <v>3.33</v>
      </c>
      <c r="D10" s="2">
        <v>3.56</v>
      </c>
      <c r="E10" s="2">
        <v>3.38</v>
      </c>
      <c r="F10" s="2">
        <v>3</v>
      </c>
      <c r="G10" s="2">
        <v>4.625</v>
      </c>
      <c r="H10" s="2">
        <v>4.3444444444444397</v>
      </c>
      <c r="I10" s="2">
        <v>2.9222222222222198</v>
      </c>
      <c r="J10" s="2">
        <v>3.05</v>
      </c>
      <c r="K10" s="2">
        <v>3.01</v>
      </c>
      <c r="L10" s="2">
        <v>4.7374999999999998</v>
      </c>
      <c r="M10" s="2">
        <v>4.0888888888888903</v>
      </c>
      <c r="N10" s="2">
        <v>2.1111111111111098</v>
      </c>
      <c r="O10" s="2">
        <v>1.9</v>
      </c>
      <c r="P10" s="2">
        <v>2.74</v>
      </c>
      <c r="Q10" s="2">
        <v>4.4375</v>
      </c>
      <c r="R10" s="2">
        <v>3.31111111111111</v>
      </c>
      <c r="S10" s="2">
        <v>1.94444444444444</v>
      </c>
      <c r="T10" s="2">
        <v>3.75</v>
      </c>
      <c r="U10" s="2">
        <v>2.89</v>
      </c>
      <c r="V10" s="2">
        <v>4.625</v>
      </c>
      <c r="W10" s="2">
        <v>3.7888888888888901</v>
      </c>
      <c r="X10" s="2">
        <v>1.75555555555556</v>
      </c>
      <c r="Y10" s="2">
        <v>3.0375000000000001</v>
      </c>
      <c r="Z10" s="2">
        <v>2.09</v>
      </c>
      <c r="AA10" s="27">
        <v>4.625</v>
      </c>
      <c r="AB10" s="27">
        <v>4.3666666666666698</v>
      </c>
      <c r="AC10" s="27">
        <v>2.9</v>
      </c>
      <c r="AD10" s="27">
        <v>3.25</v>
      </c>
      <c r="AE10" s="27">
        <v>3.01</v>
      </c>
      <c r="AF10" s="27">
        <v>4.75</v>
      </c>
      <c r="AG10" s="27">
        <v>4.1555555555555497</v>
      </c>
      <c r="AH10" s="27">
        <v>2.1</v>
      </c>
      <c r="AI10" s="27">
        <v>2.0874999999999999</v>
      </c>
      <c r="AJ10" s="27">
        <v>2.57</v>
      </c>
    </row>
    <row r="11" spans="1:38" x14ac:dyDescent="0.2">
      <c r="A11" s="2">
        <v>23429</v>
      </c>
      <c r="B11" s="2">
        <v>3.38</v>
      </c>
      <c r="C11" s="2">
        <v>4.4400000000000004</v>
      </c>
      <c r="D11" s="2">
        <v>4</v>
      </c>
      <c r="E11" s="2">
        <v>1.5</v>
      </c>
      <c r="F11" s="2">
        <v>4</v>
      </c>
      <c r="G11" s="2">
        <v>3.0625</v>
      </c>
      <c r="H11" s="2">
        <v>4.7</v>
      </c>
      <c r="I11" s="2">
        <v>3.6444444444444501</v>
      </c>
      <c r="J11" s="2">
        <v>1</v>
      </c>
      <c r="K11" s="2">
        <v>2.48</v>
      </c>
      <c r="L11" s="2">
        <v>3.5625</v>
      </c>
      <c r="M11" s="2">
        <v>4.2888888888888896</v>
      </c>
      <c r="N11" s="2">
        <v>4.0777777777777802</v>
      </c>
      <c r="O11" s="2">
        <v>1.0874999999999999</v>
      </c>
      <c r="P11" s="2">
        <v>2.34</v>
      </c>
      <c r="Q11" s="2">
        <v>3.45</v>
      </c>
      <c r="R11" s="2">
        <v>4.36666666666666</v>
      </c>
      <c r="S11" s="2">
        <v>3.4666666666666699</v>
      </c>
      <c r="T11" s="2">
        <v>3.375</v>
      </c>
      <c r="U11" s="2">
        <v>3.09</v>
      </c>
      <c r="V11" s="2">
        <v>2.9624999999999999</v>
      </c>
      <c r="W11" s="2">
        <v>4.3</v>
      </c>
      <c r="X11" s="2">
        <v>3.3555555555555601</v>
      </c>
      <c r="Y11" s="2">
        <v>3.9</v>
      </c>
      <c r="Z11" s="2">
        <v>2.4700000000000002</v>
      </c>
      <c r="AA11" s="27">
        <v>3.8</v>
      </c>
      <c r="AB11" s="27">
        <v>4.8888888888888902</v>
      </c>
      <c r="AC11" s="27">
        <v>3.4444444444444402</v>
      </c>
      <c r="AD11" s="27">
        <v>1.05</v>
      </c>
      <c r="AE11" s="27">
        <v>2.87</v>
      </c>
      <c r="AF11" s="27">
        <v>4.8624999999999998</v>
      </c>
      <c r="AG11" s="27">
        <v>3.24444444444444</v>
      </c>
      <c r="AH11" s="27">
        <v>4</v>
      </c>
      <c r="AI11" s="27">
        <v>1.05</v>
      </c>
      <c r="AJ11" s="27">
        <v>2.11</v>
      </c>
    </row>
    <row r="12" spans="1:38" x14ac:dyDescent="0.2">
      <c r="A12" s="2">
        <v>23564</v>
      </c>
      <c r="B12" s="2">
        <v>2.38</v>
      </c>
      <c r="C12" s="2">
        <v>4.33</v>
      </c>
      <c r="D12" s="2">
        <v>4.5599999999999996</v>
      </c>
      <c r="E12" s="2">
        <v>1.75</v>
      </c>
      <c r="F12" s="2">
        <v>4</v>
      </c>
      <c r="G12" s="2">
        <v>2.125</v>
      </c>
      <c r="H12" s="2">
        <v>3.4</v>
      </c>
      <c r="I12" s="2">
        <v>2.0444444444444398</v>
      </c>
      <c r="J12" s="2">
        <v>2.5750000000000002</v>
      </c>
      <c r="K12" s="2">
        <v>1.85</v>
      </c>
      <c r="L12" s="2">
        <v>2</v>
      </c>
      <c r="M12" s="2">
        <v>3.4222222222222198</v>
      </c>
      <c r="N12" s="2">
        <v>3.8222222222222202</v>
      </c>
      <c r="O12" s="2">
        <v>4.5374999999999996</v>
      </c>
      <c r="P12" s="2">
        <v>1.9</v>
      </c>
      <c r="Q12" s="2">
        <v>3.1375000000000002</v>
      </c>
      <c r="R12" s="2">
        <v>4.2555555555555502</v>
      </c>
      <c r="S12" s="2">
        <v>2.3666666666666698</v>
      </c>
      <c r="T12" s="2">
        <v>1.8875</v>
      </c>
      <c r="U12" s="2">
        <v>1.86</v>
      </c>
      <c r="V12" s="2">
        <v>2.2250000000000001</v>
      </c>
      <c r="W12" s="2">
        <v>2.9888888888888898</v>
      </c>
      <c r="X12" s="2">
        <v>2.4888888888888898</v>
      </c>
      <c r="Y12" s="2">
        <v>4.9874999999999998</v>
      </c>
      <c r="Z12" s="2">
        <v>2.0499999999999998</v>
      </c>
      <c r="AA12" s="27">
        <v>2.6875</v>
      </c>
      <c r="AB12" s="27">
        <v>3.7666666666666702</v>
      </c>
      <c r="AC12" s="27">
        <v>2</v>
      </c>
      <c r="AD12" s="27">
        <v>2.6749999999999998</v>
      </c>
      <c r="AE12" s="27">
        <v>1.97</v>
      </c>
      <c r="AF12" s="27">
        <v>2</v>
      </c>
      <c r="AG12" s="27">
        <v>3.3888888888888902</v>
      </c>
      <c r="AH12" s="27">
        <v>3.4444444444444402</v>
      </c>
      <c r="AI12" s="27">
        <v>4.625</v>
      </c>
      <c r="AJ12" s="27">
        <v>1.92</v>
      </c>
    </row>
    <row r="13" spans="1:38" x14ac:dyDescent="0.2">
      <c r="A13" s="2">
        <v>24311</v>
      </c>
      <c r="B13" s="2">
        <v>1.1299999999999999</v>
      </c>
      <c r="C13" s="2">
        <v>3.22</v>
      </c>
      <c r="D13" s="2">
        <v>1.67</v>
      </c>
      <c r="E13" s="2">
        <v>4.38</v>
      </c>
      <c r="F13" s="2">
        <v>3.1</v>
      </c>
      <c r="G13" s="2">
        <v>1.6375</v>
      </c>
      <c r="H13" s="2">
        <v>3.4555555555555499</v>
      </c>
      <c r="I13" s="2">
        <v>1.67777777777778</v>
      </c>
      <c r="J13" s="2">
        <v>4.45</v>
      </c>
      <c r="K13" s="2">
        <v>2.86</v>
      </c>
      <c r="L13" s="2">
        <v>2.125</v>
      </c>
      <c r="M13" s="2">
        <v>3.5</v>
      </c>
      <c r="N13" s="2">
        <v>2.8888888888888902</v>
      </c>
      <c r="O13" s="2">
        <v>2.125</v>
      </c>
      <c r="P13" s="2">
        <v>4.3600000000000003</v>
      </c>
      <c r="Q13" s="2">
        <v>3.4375</v>
      </c>
      <c r="R13" s="2">
        <v>2.75555555555556</v>
      </c>
      <c r="S13" s="2">
        <v>2.2777777777777799</v>
      </c>
      <c r="T13" s="2">
        <v>3.6749999999999998</v>
      </c>
      <c r="U13" s="2">
        <v>3.64</v>
      </c>
      <c r="V13" s="2">
        <v>2.8125</v>
      </c>
      <c r="W13" s="2">
        <v>2.7777777777777799</v>
      </c>
      <c r="X13" s="2">
        <v>2.5888888888888899</v>
      </c>
      <c r="Y13" s="2">
        <v>2.8875000000000002</v>
      </c>
      <c r="Z13" s="2">
        <v>4.3600000000000003</v>
      </c>
      <c r="AA13" s="27">
        <v>1.95</v>
      </c>
      <c r="AB13" s="27">
        <v>3.4666666666666601</v>
      </c>
      <c r="AC13" s="27">
        <v>1.5777777777777799</v>
      </c>
      <c r="AD13" s="27">
        <v>4.05</v>
      </c>
      <c r="AE13" s="27">
        <v>3.1</v>
      </c>
      <c r="AF13" s="27">
        <v>2.8374999999999999</v>
      </c>
      <c r="AG13" s="27">
        <v>3.5222222222222199</v>
      </c>
      <c r="AH13" s="27">
        <v>2.1111111111111098</v>
      </c>
      <c r="AI13" s="27">
        <v>2.4624999999999999</v>
      </c>
      <c r="AJ13" s="27">
        <v>4.3600000000000003</v>
      </c>
    </row>
    <row r="14" spans="1:38" x14ac:dyDescent="0.2">
      <c r="A14" s="2">
        <v>26586</v>
      </c>
      <c r="B14" s="2">
        <v>3.38</v>
      </c>
      <c r="C14" s="2">
        <v>4.67</v>
      </c>
      <c r="D14" s="2">
        <v>4.1100000000000003</v>
      </c>
      <c r="E14" s="2">
        <v>2.75</v>
      </c>
      <c r="F14" s="2">
        <v>4.2</v>
      </c>
      <c r="G14" s="2">
        <v>2.95</v>
      </c>
      <c r="H14" s="2">
        <v>4.9000000000000004</v>
      </c>
      <c r="I14" s="2">
        <v>3.8666666666666698</v>
      </c>
      <c r="J14" s="2">
        <v>2.5375000000000001</v>
      </c>
      <c r="K14" s="2">
        <v>3.86</v>
      </c>
      <c r="L14" s="2">
        <v>3.3</v>
      </c>
      <c r="M14" s="2">
        <v>4.4555555555555504</v>
      </c>
      <c r="N14" s="2">
        <v>4.0333333333333297</v>
      </c>
      <c r="O14" s="2">
        <v>2.1625000000000001</v>
      </c>
      <c r="P14" s="2">
        <v>3.39</v>
      </c>
      <c r="Q14" s="2">
        <v>3.3</v>
      </c>
      <c r="R14" s="2">
        <v>4.7777777777777803</v>
      </c>
      <c r="S14" s="2">
        <v>3.0111111111111102</v>
      </c>
      <c r="T14" s="2">
        <v>1.9624999999999999</v>
      </c>
      <c r="U14" s="2">
        <v>4.66</v>
      </c>
      <c r="V14" s="2">
        <v>3.4375</v>
      </c>
      <c r="W14" s="2">
        <v>3.7222222222222201</v>
      </c>
      <c r="X14" s="2">
        <v>3.68888888888889</v>
      </c>
      <c r="Y14" s="2">
        <v>3.6749999999999998</v>
      </c>
      <c r="Z14" s="2">
        <v>3.93</v>
      </c>
      <c r="AA14" s="27">
        <v>3.5874999999999999</v>
      </c>
      <c r="AB14" s="27">
        <v>4.6666666666666696</v>
      </c>
      <c r="AC14" s="27">
        <v>3.3222222222222202</v>
      </c>
      <c r="AD14" s="27">
        <v>2.5874999999999999</v>
      </c>
      <c r="AE14" s="27">
        <v>3.83</v>
      </c>
      <c r="AF14" s="27">
        <v>3.4624999999999999</v>
      </c>
      <c r="AG14" s="27">
        <v>4.1111111111111098</v>
      </c>
      <c r="AH14" s="27">
        <v>3.5333333333333301</v>
      </c>
      <c r="AI14" s="27">
        <v>2.5750000000000002</v>
      </c>
      <c r="AJ14" s="27">
        <v>3.45</v>
      </c>
    </row>
    <row r="15" spans="1:38" x14ac:dyDescent="0.2">
      <c r="A15" s="2">
        <v>26627</v>
      </c>
      <c r="B15" s="2">
        <v>1.75</v>
      </c>
      <c r="C15" s="2">
        <v>4.5599999999999996</v>
      </c>
      <c r="D15" s="2">
        <v>4.8899999999999997</v>
      </c>
      <c r="E15" s="2">
        <v>1.1299999999999999</v>
      </c>
      <c r="F15" s="2">
        <v>3.5</v>
      </c>
      <c r="G15" s="2">
        <v>2.875</v>
      </c>
      <c r="H15" s="2">
        <v>4.68888888888889</v>
      </c>
      <c r="I15" s="2">
        <v>4.2</v>
      </c>
      <c r="J15" s="2">
        <v>3.625</v>
      </c>
      <c r="K15" s="2">
        <v>1.92</v>
      </c>
      <c r="L15" s="2">
        <v>2.875</v>
      </c>
      <c r="M15" s="2">
        <v>4.6111111111111098</v>
      </c>
      <c r="N15" s="2">
        <v>3.9666666666666699</v>
      </c>
      <c r="O15" s="2">
        <v>3.6375000000000002</v>
      </c>
      <c r="P15" s="2">
        <v>2.78</v>
      </c>
      <c r="Q15" s="2">
        <v>3.0750000000000002</v>
      </c>
      <c r="R15" s="2">
        <v>3.7333333333333298</v>
      </c>
      <c r="S15" s="2">
        <v>3.1111111111111098</v>
      </c>
      <c r="T15" s="2">
        <v>4.375</v>
      </c>
      <c r="U15" s="2">
        <v>1.89</v>
      </c>
      <c r="V15" s="2">
        <v>3.375</v>
      </c>
      <c r="W15" s="2">
        <v>4.18888888888889</v>
      </c>
      <c r="X15" s="2">
        <v>3.1777777777777798</v>
      </c>
      <c r="Y15" s="2">
        <v>3.7124999999999999</v>
      </c>
      <c r="Z15" s="2">
        <v>2.39</v>
      </c>
      <c r="AA15" s="27">
        <v>2.8875000000000002</v>
      </c>
      <c r="AB15" s="27">
        <v>4.6555555555555603</v>
      </c>
      <c r="AC15" s="27">
        <v>4.0333333333333297</v>
      </c>
      <c r="AD15" s="27">
        <v>3.625</v>
      </c>
      <c r="AE15" s="27">
        <v>1.96</v>
      </c>
      <c r="AF15" s="27">
        <v>3.5249999999999999</v>
      </c>
      <c r="AG15" s="27">
        <v>4.68888888888889</v>
      </c>
      <c r="AH15" s="27">
        <v>3.8</v>
      </c>
      <c r="AI15" s="27">
        <v>3.7250000000000001</v>
      </c>
      <c r="AJ15" s="27">
        <v>2.81</v>
      </c>
    </row>
    <row r="16" spans="1:38" x14ac:dyDescent="0.2">
      <c r="A16" s="2">
        <v>29239</v>
      </c>
      <c r="B16" s="2">
        <v>3</v>
      </c>
      <c r="C16" s="2">
        <v>3.11</v>
      </c>
      <c r="D16" s="2">
        <v>4.1100000000000003</v>
      </c>
      <c r="E16" s="2">
        <v>4.63</v>
      </c>
      <c r="F16" s="2">
        <v>3.7</v>
      </c>
      <c r="G16" s="2">
        <v>2.7</v>
      </c>
      <c r="H16" s="2">
        <v>3.1444444444444399</v>
      </c>
      <c r="I16" s="2">
        <v>2.24444444444444</v>
      </c>
      <c r="J16" s="2">
        <v>4.9000000000000004</v>
      </c>
      <c r="K16" s="2">
        <v>3.24</v>
      </c>
      <c r="L16" s="2">
        <v>3.2</v>
      </c>
      <c r="M16" s="2">
        <v>3.37777777777778</v>
      </c>
      <c r="N16" s="2">
        <v>2.8444444444444401</v>
      </c>
      <c r="O16" s="2">
        <v>2.875</v>
      </c>
      <c r="P16" s="2">
        <v>2.92</v>
      </c>
      <c r="Q16" s="2">
        <v>3.7625000000000002</v>
      </c>
      <c r="R16" s="2">
        <v>3.1111111111111098</v>
      </c>
      <c r="S16" s="2">
        <v>2.9111111111111101</v>
      </c>
      <c r="T16" s="2">
        <v>4.375</v>
      </c>
      <c r="U16" s="2">
        <v>4.12</v>
      </c>
      <c r="V16" s="2">
        <v>3.65</v>
      </c>
      <c r="W16" s="2">
        <v>2.81111111111111</v>
      </c>
      <c r="X16" s="2">
        <v>3.4555555555555499</v>
      </c>
      <c r="Y16" s="2">
        <v>4.6500000000000004</v>
      </c>
      <c r="Z16" s="2">
        <v>3.16</v>
      </c>
      <c r="AA16" s="27">
        <v>2.85</v>
      </c>
      <c r="AB16" s="27">
        <v>3.1666666666666599</v>
      </c>
      <c r="AC16" s="27">
        <v>2.56666666666667</v>
      </c>
      <c r="AD16" s="27">
        <v>4.8624999999999998</v>
      </c>
      <c r="AE16" s="27">
        <v>3.51</v>
      </c>
      <c r="AF16" s="27">
        <v>3.4750000000000001</v>
      </c>
      <c r="AG16" s="27">
        <v>3.4</v>
      </c>
      <c r="AH16" s="27">
        <v>2.6444444444444399</v>
      </c>
      <c r="AI16" s="27">
        <v>3.8374999999999999</v>
      </c>
      <c r="AJ16" s="27">
        <v>3.15</v>
      </c>
    </row>
    <row r="17" spans="1:36" x14ac:dyDescent="0.2">
      <c r="A17" s="2">
        <v>29937</v>
      </c>
      <c r="B17" s="2">
        <v>2.25</v>
      </c>
      <c r="C17" s="2">
        <v>2.89</v>
      </c>
      <c r="D17" s="2">
        <v>3.67</v>
      </c>
      <c r="E17" s="2">
        <v>2.75</v>
      </c>
      <c r="F17" s="2">
        <v>3.1</v>
      </c>
      <c r="G17" s="2">
        <v>2.3250000000000002</v>
      </c>
      <c r="H17" s="2">
        <v>3.4666666666666699</v>
      </c>
      <c r="I17" s="2">
        <v>4.7333333333333396</v>
      </c>
      <c r="J17" s="2">
        <v>2.0249999999999999</v>
      </c>
      <c r="K17" s="2">
        <v>3.54</v>
      </c>
      <c r="L17" s="2">
        <v>2.8374999999999999</v>
      </c>
      <c r="M17" s="2">
        <v>3.8333333333333299</v>
      </c>
      <c r="N17" s="2">
        <v>4.8333333333333401</v>
      </c>
      <c r="O17" s="2">
        <v>1.4</v>
      </c>
      <c r="P17" s="2">
        <v>3.8</v>
      </c>
      <c r="Q17" s="2">
        <v>3.0375000000000001</v>
      </c>
      <c r="R17" s="2">
        <v>4.2666666666666604</v>
      </c>
      <c r="S17" s="2">
        <v>4.0555555555555598</v>
      </c>
      <c r="T17" s="2">
        <v>2.9125000000000001</v>
      </c>
      <c r="U17" s="2">
        <v>3.45</v>
      </c>
      <c r="V17" s="2">
        <v>3.8875000000000002</v>
      </c>
      <c r="W17" s="2">
        <v>3.8333333333333299</v>
      </c>
      <c r="X17" s="2">
        <v>3.93333333333333</v>
      </c>
      <c r="Y17" s="2">
        <v>1.875</v>
      </c>
      <c r="Z17" s="2">
        <v>4.72</v>
      </c>
      <c r="AA17" s="27">
        <v>2.7625000000000002</v>
      </c>
      <c r="AB17" s="27">
        <v>3.4888888888888898</v>
      </c>
      <c r="AC17" s="27">
        <v>4.2333333333333298</v>
      </c>
      <c r="AD17" s="27">
        <v>2.1375000000000002</v>
      </c>
      <c r="AE17" s="27">
        <v>3.63</v>
      </c>
      <c r="AF17" s="27">
        <v>3.875</v>
      </c>
      <c r="AG17" s="27">
        <v>4.1333333333333302</v>
      </c>
      <c r="AH17" s="27">
        <v>4.56666666666667</v>
      </c>
      <c r="AI17" s="27">
        <v>1.6375</v>
      </c>
      <c r="AJ17" s="27">
        <v>4.0999999999999996</v>
      </c>
    </row>
    <row r="18" spans="1:36" x14ac:dyDescent="0.2">
      <c r="A18" s="2">
        <v>30122</v>
      </c>
      <c r="B18" s="2">
        <v>1.63</v>
      </c>
      <c r="C18" s="2">
        <v>4.5599999999999996</v>
      </c>
      <c r="D18" s="2">
        <v>3.78</v>
      </c>
      <c r="E18" s="2">
        <v>3.88</v>
      </c>
      <c r="F18" s="2">
        <v>4.3</v>
      </c>
      <c r="G18" s="2">
        <v>2.0125000000000002</v>
      </c>
      <c r="H18" s="2">
        <v>4.5222222222222204</v>
      </c>
      <c r="I18" s="2">
        <v>3.5555555555555598</v>
      </c>
      <c r="J18" s="2">
        <v>4.0999999999999996</v>
      </c>
      <c r="K18" s="2">
        <v>4.03</v>
      </c>
      <c r="L18" s="2">
        <v>2.1124999999999998</v>
      </c>
      <c r="M18" s="2">
        <v>4.0444444444444398</v>
      </c>
      <c r="N18" s="2">
        <v>2.8444444444444499</v>
      </c>
      <c r="O18" s="2">
        <v>3.2625000000000002</v>
      </c>
      <c r="P18" s="2">
        <v>2.91</v>
      </c>
      <c r="Q18" s="2">
        <v>3.3875000000000002</v>
      </c>
      <c r="R18" s="2">
        <v>4.7666666666666702</v>
      </c>
      <c r="S18" s="2">
        <v>3.0888888888888899</v>
      </c>
      <c r="T18" s="2">
        <v>3.1</v>
      </c>
      <c r="U18" s="2">
        <v>3.37</v>
      </c>
      <c r="V18" s="2">
        <v>3.7124999999999999</v>
      </c>
      <c r="W18" s="2">
        <v>4.3333333333333304</v>
      </c>
      <c r="X18" s="2">
        <v>2.24444444444444</v>
      </c>
      <c r="Y18" s="2">
        <v>2.6375000000000002</v>
      </c>
      <c r="Z18" s="2">
        <v>2.33</v>
      </c>
      <c r="AA18" s="27">
        <v>2.9125000000000001</v>
      </c>
      <c r="AB18" s="27">
        <v>4.7</v>
      </c>
      <c r="AC18" s="27">
        <v>3.2</v>
      </c>
      <c r="AD18" s="27">
        <v>4.05</v>
      </c>
      <c r="AE18" s="27">
        <v>4.03</v>
      </c>
      <c r="AF18" s="27">
        <v>2.75</v>
      </c>
      <c r="AG18" s="27">
        <v>4.2888888888888896</v>
      </c>
      <c r="AH18" s="27">
        <v>2.2000000000000002</v>
      </c>
      <c r="AI18" s="27">
        <v>2.8875000000000002</v>
      </c>
      <c r="AJ18" s="27">
        <v>2.95</v>
      </c>
    </row>
    <row r="19" spans="1:36" x14ac:dyDescent="0.2">
      <c r="A19" s="2">
        <v>31717</v>
      </c>
      <c r="B19" s="2">
        <v>2.38</v>
      </c>
      <c r="C19" s="2">
        <v>3.67</v>
      </c>
      <c r="D19" s="2">
        <v>3.89</v>
      </c>
      <c r="E19" s="2">
        <v>3</v>
      </c>
      <c r="F19" s="2">
        <v>2.7</v>
      </c>
      <c r="G19" s="2">
        <v>2.875</v>
      </c>
      <c r="H19" s="2">
        <v>2.9888888888888898</v>
      </c>
      <c r="I19" s="2">
        <v>4.0111111111111102</v>
      </c>
      <c r="J19" s="2">
        <v>2.0625</v>
      </c>
      <c r="K19" s="2">
        <v>2.0699999999999998</v>
      </c>
      <c r="L19" s="2">
        <v>2.0874999999999999</v>
      </c>
      <c r="M19" s="2">
        <v>3.2777777777777799</v>
      </c>
      <c r="N19" s="2">
        <v>4.5444444444444398</v>
      </c>
      <c r="O19" s="2">
        <v>1.25</v>
      </c>
      <c r="P19" s="2">
        <v>2.12</v>
      </c>
      <c r="Q19" s="2">
        <v>3.6625000000000001</v>
      </c>
      <c r="R19" s="2">
        <v>2.6777777777777798</v>
      </c>
      <c r="S19" s="2">
        <v>4.2777777777777803</v>
      </c>
      <c r="T19" s="2">
        <v>3.0249999999999999</v>
      </c>
      <c r="U19" s="2">
        <v>1.93</v>
      </c>
      <c r="V19" s="2">
        <v>3.2250000000000001</v>
      </c>
      <c r="W19" s="2">
        <v>2.93333333333333</v>
      </c>
      <c r="X19" s="2">
        <v>3.1555555555555599</v>
      </c>
      <c r="Y19" s="2">
        <v>1.9375</v>
      </c>
      <c r="Z19" s="2">
        <v>2.44</v>
      </c>
      <c r="AA19" s="27">
        <v>3.375</v>
      </c>
      <c r="AB19" s="27">
        <v>2.9222222222222198</v>
      </c>
      <c r="AC19" s="27">
        <v>4.0111111111111102</v>
      </c>
      <c r="AD19" s="27">
        <v>2.1124999999999998</v>
      </c>
      <c r="AE19" s="27">
        <v>2</v>
      </c>
      <c r="AF19" s="27">
        <v>2.7</v>
      </c>
      <c r="AG19" s="27">
        <v>2.94444444444445</v>
      </c>
      <c r="AH19" s="27">
        <v>4.2777777777777803</v>
      </c>
      <c r="AI19" s="27">
        <v>1.2875000000000001</v>
      </c>
      <c r="AJ19" s="27">
        <v>2.06</v>
      </c>
    </row>
    <row r="20" spans="1:36" x14ac:dyDescent="0.2">
      <c r="A20" s="2">
        <v>32418</v>
      </c>
      <c r="B20" s="2">
        <v>3.5</v>
      </c>
      <c r="C20" s="2">
        <v>4.4400000000000004</v>
      </c>
      <c r="D20" s="2">
        <v>4.67</v>
      </c>
      <c r="E20" s="2">
        <v>1.38</v>
      </c>
      <c r="F20" s="2">
        <v>3</v>
      </c>
      <c r="G20" s="2">
        <v>3.15</v>
      </c>
      <c r="H20" s="2">
        <v>3.6777777777777798</v>
      </c>
      <c r="I20" s="2">
        <v>2.1111111111111098</v>
      </c>
      <c r="J20" s="2">
        <v>1.5874999999999999</v>
      </c>
      <c r="K20" s="2">
        <v>2.88</v>
      </c>
      <c r="L20" s="2">
        <v>2.4125000000000001</v>
      </c>
      <c r="M20" s="2">
        <v>4.05555555555555</v>
      </c>
      <c r="N20" s="2">
        <v>2.8666666666666698</v>
      </c>
      <c r="O20" s="2">
        <v>1.6625000000000001</v>
      </c>
      <c r="P20" s="2">
        <v>3.57</v>
      </c>
      <c r="Q20" s="2">
        <v>4.55</v>
      </c>
      <c r="R20" s="2">
        <v>2.8888888888888902</v>
      </c>
      <c r="S20" s="2">
        <v>2.2555555555555502</v>
      </c>
      <c r="T20" s="2">
        <v>1.6375</v>
      </c>
      <c r="U20" s="2">
        <v>2.5</v>
      </c>
      <c r="V20" s="2">
        <v>3.8875000000000002</v>
      </c>
      <c r="W20" s="2">
        <v>2.9555555555555602</v>
      </c>
      <c r="X20" s="2">
        <v>2.2777777777777799</v>
      </c>
      <c r="Y20" s="2">
        <v>2.5750000000000002</v>
      </c>
      <c r="Z20" s="2">
        <v>3.32</v>
      </c>
      <c r="AA20" s="27">
        <v>3.9249999999999998</v>
      </c>
      <c r="AB20" s="27">
        <v>3.4444444444444402</v>
      </c>
      <c r="AC20" s="27">
        <v>2.06666666666667</v>
      </c>
      <c r="AD20" s="27">
        <v>1.7</v>
      </c>
      <c r="AE20" s="27">
        <v>3</v>
      </c>
      <c r="AF20" s="27">
        <v>3.9249999999999998</v>
      </c>
      <c r="AG20" s="27">
        <v>4.0333333333333297</v>
      </c>
      <c r="AH20" s="27">
        <v>2.12222222222222</v>
      </c>
      <c r="AI20" s="27">
        <v>1.3875</v>
      </c>
      <c r="AJ20" s="27">
        <v>3.28</v>
      </c>
    </row>
    <row r="21" spans="1:36" x14ac:dyDescent="0.2">
      <c r="A21" s="2">
        <v>32999</v>
      </c>
      <c r="B21" s="2">
        <v>2.25</v>
      </c>
      <c r="C21" s="2">
        <v>4.4400000000000004</v>
      </c>
      <c r="D21" s="2">
        <v>4.22</v>
      </c>
      <c r="E21" s="2">
        <v>2</v>
      </c>
      <c r="F21" s="2">
        <v>4.0999999999999996</v>
      </c>
      <c r="G21" s="2">
        <v>3.0125000000000002</v>
      </c>
      <c r="H21" s="2">
        <v>4.4777777777777796</v>
      </c>
      <c r="I21" s="2">
        <v>4.0111111111111102</v>
      </c>
      <c r="J21" s="2">
        <v>1.05</v>
      </c>
      <c r="K21" s="2">
        <v>2.34</v>
      </c>
      <c r="L21" s="2">
        <v>2.1124999999999998</v>
      </c>
      <c r="M21" s="2">
        <v>3.68888888888889</v>
      </c>
      <c r="N21" s="2">
        <v>3.1111111111111098</v>
      </c>
      <c r="O21" s="2">
        <v>2.1375000000000002</v>
      </c>
      <c r="P21" s="2">
        <v>2</v>
      </c>
      <c r="Q21" s="2">
        <v>3.85</v>
      </c>
      <c r="R21" s="2">
        <v>4.4222222222222198</v>
      </c>
      <c r="S21" s="2">
        <v>3.3444444444444401</v>
      </c>
      <c r="T21" s="2">
        <v>1.1000000000000001</v>
      </c>
      <c r="U21" s="2">
        <v>2.4700000000000002</v>
      </c>
      <c r="V21" s="2">
        <v>2.8875000000000002</v>
      </c>
      <c r="W21" s="2">
        <v>3.3555555555555499</v>
      </c>
      <c r="X21" s="2">
        <v>2.1444444444444399</v>
      </c>
      <c r="Y21" s="2">
        <v>3.5375000000000001</v>
      </c>
      <c r="Z21" s="2">
        <v>2.06</v>
      </c>
      <c r="AA21" s="27">
        <v>3.8125</v>
      </c>
      <c r="AB21" s="27">
        <v>4.4888888888888898</v>
      </c>
      <c r="AC21" s="27">
        <v>3.9444444444444402</v>
      </c>
      <c r="AD21" s="27">
        <v>1</v>
      </c>
      <c r="AE21" s="27">
        <v>2.27</v>
      </c>
      <c r="AF21" s="27">
        <v>2.7250000000000001</v>
      </c>
      <c r="AG21" s="27">
        <v>3.7</v>
      </c>
      <c r="AH21" s="27">
        <v>2.7111111111111099</v>
      </c>
      <c r="AI21" s="27">
        <v>1.75</v>
      </c>
      <c r="AJ21" s="27">
        <v>2.0299999999999998</v>
      </c>
    </row>
    <row r="22" spans="1:36" x14ac:dyDescent="0.2">
      <c r="A22" s="2">
        <v>33211</v>
      </c>
      <c r="B22" s="2">
        <v>3.5</v>
      </c>
      <c r="C22" s="2">
        <v>3.56</v>
      </c>
      <c r="D22" s="2">
        <v>3.22</v>
      </c>
      <c r="E22" s="2">
        <v>3</v>
      </c>
      <c r="F22" s="2">
        <v>4.0999999999999996</v>
      </c>
      <c r="G22" s="2">
        <v>2.9750000000000001</v>
      </c>
      <c r="H22" s="2">
        <v>3.8888888888888902</v>
      </c>
      <c r="I22" s="2">
        <v>3.37777777777778</v>
      </c>
      <c r="J22" s="2">
        <v>2</v>
      </c>
      <c r="K22" s="2">
        <v>3.9</v>
      </c>
      <c r="L22" s="2">
        <v>3.6</v>
      </c>
      <c r="M22" s="2">
        <v>4.2111111111111104</v>
      </c>
      <c r="N22" s="2">
        <v>3.9111111111111101</v>
      </c>
      <c r="O22" s="2">
        <v>1.2749999999999999</v>
      </c>
      <c r="P22" s="2">
        <v>3.48</v>
      </c>
      <c r="Q22" s="2">
        <v>3.85</v>
      </c>
      <c r="R22" s="2">
        <v>4.0777777777777802</v>
      </c>
      <c r="S22" s="2">
        <v>3.18888888888889</v>
      </c>
      <c r="T22" s="2">
        <v>2.1124999999999998</v>
      </c>
      <c r="U22" s="2">
        <v>4.3899999999999997</v>
      </c>
      <c r="V22" s="2">
        <v>3.5750000000000002</v>
      </c>
      <c r="W22" s="2">
        <v>4.2111111111111104</v>
      </c>
      <c r="X22" s="2">
        <v>2.6666666666666701</v>
      </c>
      <c r="Y22" s="2">
        <v>1.875</v>
      </c>
      <c r="Z22" s="2">
        <v>2.74</v>
      </c>
      <c r="AA22" s="27">
        <v>3.6</v>
      </c>
      <c r="AB22" s="27">
        <v>4.0555555555555598</v>
      </c>
      <c r="AC22" s="27">
        <v>3.0333333333333301</v>
      </c>
      <c r="AD22" s="27">
        <v>1.8875</v>
      </c>
      <c r="AE22" s="27">
        <v>3.78</v>
      </c>
      <c r="AF22" s="27">
        <v>4</v>
      </c>
      <c r="AG22" s="27">
        <v>3.94444444444445</v>
      </c>
      <c r="AH22" s="27">
        <v>2.9222222222222198</v>
      </c>
      <c r="AI22" s="27">
        <v>1.55</v>
      </c>
      <c r="AJ22" s="27">
        <v>3.4</v>
      </c>
    </row>
    <row r="23" spans="1:36" x14ac:dyDescent="0.2">
      <c r="A23" s="2">
        <v>33270</v>
      </c>
      <c r="B23" s="2">
        <v>2.38</v>
      </c>
      <c r="C23" s="2">
        <v>3.22</v>
      </c>
      <c r="D23" s="2">
        <v>3.56</v>
      </c>
      <c r="E23" s="2">
        <v>2.88</v>
      </c>
      <c r="F23" s="2">
        <v>2.9</v>
      </c>
      <c r="G23" s="2">
        <v>2.7625000000000002</v>
      </c>
      <c r="H23" s="2">
        <v>3.7777777777777799</v>
      </c>
      <c r="I23" s="2">
        <v>3.4</v>
      </c>
      <c r="J23" s="2">
        <v>2.15</v>
      </c>
      <c r="K23" s="2">
        <v>3.25</v>
      </c>
      <c r="L23" s="2">
        <v>2.5</v>
      </c>
      <c r="M23" s="2">
        <v>3.93333333333333</v>
      </c>
      <c r="N23" s="2">
        <v>3.68888888888889</v>
      </c>
      <c r="O23" s="2">
        <v>1.1375</v>
      </c>
      <c r="P23" s="2">
        <v>2.77</v>
      </c>
      <c r="Q23" s="2">
        <v>2.8</v>
      </c>
      <c r="R23" s="2">
        <v>4.24444444444444</v>
      </c>
      <c r="S23" s="2">
        <v>3.1111111111111098</v>
      </c>
      <c r="T23" s="2">
        <v>1.925</v>
      </c>
      <c r="U23" s="2">
        <v>3.61</v>
      </c>
      <c r="V23" s="2">
        <v>3.7124999999999999</v>
      </c>
      <c r="W23" s="2">
        <v>4.2</v>
      </c>
      <c r="X23" s="2">
        <v>3.2666666666666599</v>
      </c>
      <c r="Y23" s="2">
        <v>1.9</v>
      </c>
      <c r="Z23" s="2">
        <v>2.6</v>
      </c>
      <c r="AA23" s="27">
        <v>2.7625000000000002</v>
      </c>
      <c r="AB23" s="27">
        <v>3.9111111111111101</v>
      </c>
      <c r="AC23" s="27">
        <v>3.2222222222222201</v>
      </c>
      <c r="AD23" s="27">
        <v>2.6875</v>
      </c>
      <c r="AE23" s="27">
        <v>3.21</v>
      </c>
      <c r="AF23" s="27">
        <v>2.9</v>
      </c>
      <c r="AG23" s="27">
        <v>4</v>
      </c>
      <c r="AH23" s="27">
        <v>3.5888888888888899</v>
      </c>
      <c r="AI23" s="27">
        <v>1.7875000000000001</v>
      </c>
      <c r="AJ23" s="27">
        <v>2.7</v>
      </c>
    </row>
    <row r="24" spans="1:36" x14ac:dyDescent="0.2">
      <c r="A24" s="2">
        <v>35669</v>
      </c>
      <c r="B24" s="2">
        <v>3.63</v>
      </c>
      <c r="C24" s="2">
        <v>5</v>
      </c>
      <c r="D24" s="2">
        <v>5</v>
      </c>
      <c r="E24" s="2">
        <v>1.25</v>
      </c>
      <c r="F24" s="2">
        <v>4.5</v>
      </c>
      <c r="G24" s="2">
        <v>2.0750000000000002</v>
      </c>
      <c r="H24" s="2">
        <v>4.4888888888888898</v>
      </c>
      <c r="I24" s="2">
        <v>2.9222222222222198</v>
      </c>
      <c r="J24" s="2">
        <v>1.3125</v>
      </c>
      <c r="K24" s="2">
        <v>2.52</v>
      </c>
      <c r="L24" s="2">
        <v>2.5625</v>
      </c>
      <c r="M24" s="2">
        <v>4.5444444444444496</v>
      </c>
      <c r="N24" s="2">
        <v>2.7444444444444498</v>
      </c>
      <c r="O24" s="2">
        <v>2.0125000000000002</v>
      </c>
      <c r="P24" s="2">
        <v>2.73</v>
      </c>
      <c r="Q24" s="2">
        <v>3.1625000000000001</v>
      </c>
      <c r="R24" s="2">
        <v>4.2888888888888896</v>
      </c>
      <c r="S24" s="2">
        <v>3.4</v>
      </c>
      <c r="T24" s="2">
        <v>2.1375000000000002</v>
      </c>
      <c r="U24" s="2">
        <v>3.89</v>
      </c>
      <c r="V24" s="2">
        <v>2.9125000000000001</v>
      </c>
      <c r="W24" s="2">
        <v>4.7777777777777803</v>
      </c>
      <c r="X24" s="2">
        <v>3.1111111111111098</v>
      </c>
      <c r="Y24" s="2">
        <v>2.8250000000000002</v>
      </c>
      <c r="Z24" s="2">
        <v>3.54</v>
      </c>
      <c r="AA24" s="27">
        <v>2.1124999999999998</v>
      </c>
      <c r="AB24" s="27">
        <v>4.62222222222222</v>
      </c>
      <c r="AC24" s="27">
        <v>2.8444444444444499</v>
      </c>
      <c r="AD24" s="27">
        <v>1.425</v>
      </c>
      <c r="AE24" s="27">
        <v>2.98</v>
      </c>
      <c r="AF24" s="27">
        <v>3.4249999999999998</v>
      </c>
      <c r="AG24" s="27">
        <v>4.7888888888888896</v>
      </c>
      <c r="AH24" s="27">
        <v>3.06666666666667</v>
      </c>
      <c r="AI24" s="27">
        <v>1.9</v>
      </c>
      <c r="AJ24" s="27">
        <v>2.78</v>
      </c>
    </row>
    <row r="25" spans="1:36" x14ac:dyDescent="0.2">
      <c r="A25" s="2">
        <v>37239</v>
      </c>
      <c r="B25" s="2">
        <v>4.13</v>
      </c>
      <c r="C25" s="2">
        <v>4.8899999999999997</v>
      </c>
      <c r="D25" s="2">
        <v>4.33</v>
      </c>
      <c r="E25" s="2">
        <v>1.38</v>
      </c>
      <c r="F25" s="2">
        <v>2.7</v>
      </c>
      <c r="G25" s="2">
        <v>3.625</v>
      </c>
      <c r="H25" s="2">
        <v>4.7777777777777803</v>
      </c>
      <c r="I25" s="2">
        <v>3.3888888888888902</v>
      </c>
      <c r="J25" s="2">
        <v>1.4750000000000001</v>
      </c>
      <c r="K25" s="2">
        <v>2.0099999999999998</v>
      </c>
      <c r="L25" s="2">
        <v>3.4249999999999998</v>
      </c>
      <c r="M25" s="2">
        <v>4.9000000000000004</v>
      </c>
      <c r="N25" s="2">
        <v>3.0333333333333301</v>
      </c>
      <c r="O25" s="2">
        <v>2.0125000000000002</v>
      </c>
      <c r="P25" s="2">
        <v>2.1800000000000002</v>
      </c>
      <c r="Q25" s="2">
        <v>3.9249999999999998</v>
      </c>
      <c r="R25" s="2">
        <v>4</v>
      </c>
      <c r="S25" s="2">
        <v>3</v>
      </c>
      <c r="T25" s="2">
        <v>1.9375</v>
      </c>
      <c r="U25" s="2">
        <v>1.79</v>
      </c>
      <c r="V25" s="2">
        <v>3.75</v>
      </c>
      <c r="W25" s="2">
        <v>3.9888888888888898</v>
      </c>
      <c r="X25" s="2">
        <v>2.2666666666666599</v>
      </c>
      <c r="Y25" s="2">
        <v>3.1749999999999998</v>
      </c>
      <c r="Z25" s="2">
        <v>2.59</v>
      </c>
      <c r="AA25" s="27">
        <v>4.45</v>
      </c>
      <c r="AB25" s="27">
        <v>4.8444444444444397</v>
      </c>
      <c r="AC25" s="27">
        <v>2.9555555555555602</v>
      </c>
      <c r="AD25" s="27">
        <v>1.4750000000000001</v>
      </c>
      <c r="AE25" s="27">
        <v>2.1</v>
      </c>
      <c r="AF25" s="27">
        <v>3.875</v>
      </c>
      <c r="AG25" s="27">
        <v>4.8888888888888902</v>
      </c>
      <c r="AH25" s="27">
        <v>2.4444444444444402</v>
      </c>
      <c r="AI25" s="27">
        <v>1.9750000000000001</v>
      </c>
      <c r="AJ25" s="27">
        <v>2.16</v>
      </c>
    </row>
    <row r="26" spans="1:36" x14ac:dyDescent="0.2">
      <c r="A26" s="2">
        <v>37559</v>
      </c>
      <c r="B26" s="2">
        <v>4</v>
      </c>
      <c r="C26" s="2">
        <v>3.33</v>
      </c>
      <c r="D26" s="2">
        <v>4</v>
      </c>
      <c r="E26" s="2">
        <v>1.38</v>
      </c>
      <c r="F26" s="2">
        <v>4.0999999999999996</v>
      </c>
      <c r="G26" s="2">
        <v>3.1</v>
      </c>
      <c r="H26" s="2">
        <v>2.9555555555555602</v>
      </c>
      <c r="I26" s="2">
        <v>4.0111111111111102</v>
      </c>
      <c r="J26" s="2">
        <v>1.9375</v>
      </c>
      <c r="K26" s="2">
        <v>3.74</v>
      </c>
      <c r="L26" s="2">
        <v>3.1875</v>
      </c>
      <c r="M26" s="2">
        <v>3.7333333333333401</v>
      </c>
      <c r="N26" s="2">
        <v>4.4666666666666703</v>
      </c>
      <c r="O26" s="2">
        <v>1.375</v>
      </c>
      <c r="P26" s="2">
        <v>3.6</v>
      </c>
      <c r="Q26" s="2">
        <v>3.2749999999999999</v>
      </c>
      <c r="R26" s="2">
        <v>3.0444444444444501</v>
      </c>
      <c r="S26" s="2">
        <v>3.0888888888888899</v>
      </c>
      <c r="T26" s="2">
        <v>2.8624999999999998</v>
      </c>
      <c r="U26" s="2">
        <v>3.64</v>
      </c>
      <c r="V26" s="2">
        <v>4.3125</v>
      </c>
      <c r="W26" s="2">
        <v>2.31111111111111</v>
      </c>
      <c r="X26" s="2">
        <v>4.3</v>
      </c>
      <c r="Y26" s="2">
        <v>2.8875000000000002</v>
      </c>
      <c r="Z26" s="2">
        <v>3.18</v>
      </c>
      <c r="AA26" s="27">
        <v>3.2</v>
      </c>
      <c r="AB26" s="27">
        <v>2.8888888888888902</v>
      </c>
      <c r="AC26" s="27">
        <v>3.3666666666666698</v>
      </c>
      <c r="AD26" s="27">
        <v>1.9750000000000001</v>
      </c>
      <c r="AE26" s="27">
        <v>3.71</v>
      </c>
      <c r="AF26" s="27">
        <v>4.6624999999999996</v>
      </c>
      <c r="AG26" s="27">
        <v>2.9888888888888898</v>
      </c>
      <c r="AH26" s="27">
        <v>4.2555555555555502</v>
      </c>
      <c r="AI26" s="27">
        <v>1.2749999999999999</v>
      </c>
      <c r="AJ26" s="27">
        <v>3.61</v>
      </c>
    </row>
    <row r="27" spans="1:36" x14ac:dyDescent="0.2">
      <c r="A27" s="2">
        <v>37703</v>
      </c>
      <c r="B27" s="2">
        <v>2.63</v>
      </c>
      <c r="C27" s="2">
        <v>4.22</v>
      </c>
      <c r="D27" s="2">
        <v>3.56</v>
      </c>
      <c r="E27" s="2">
        <v>2.38</v>
      </c>
      <c r="F27" s="2">
        <v>3.3</v>
      </c>
      <c r="G27" s="2">
        <v>3.65</v>
      </c>
      <c r="H27" s="2">
        <v>4.9777777777777796</v>
      </c>
      <c r="I27" s="2">
        <v>4.2333333333333298</v>
      </c>
      <c r="J27" s="2">
        <v>1.825</v>
      </c>
      <c r="K27" s="2">
        <v>3.12</v>
      </c>
      <c r="L27" s="2">
        <v>3.3</v>
      </c>
      <c r="M27" s="2">
        <v>4.93333333333333</v>
      </c>
      <c r="N27" s="2">
        <v>4.62222222222222</v>
      </c>
      <c r="O27" s="2">
        <v>1.3374999999999999</v>
      </c>
      <c r="P27" s="2">
        <v>2.44</v>
      </c>
      <c r="Q27" s="2">
        <v>4.25</v>
      </c>
      <c r="R27" s="2">
        <v>4.9111111111111097</v>
      </c>
      <c r="S27" s="2">
        <v>3.9444444444444402</v>
      </c>
      <c r="T27" s="2">
        <v>1.5874999999999999</v>
      </c>
      <c r="U27" s="2">
        <v>3.02</v>
      </c>
      <c r="V27" s="2">
        <v>4.1624999999999996</v>
      </c>
      <c r="W27" s="2">
        <v>4.1111111111111098</v>
      </c>
      <c r="X27" s="2">
        <v>2.8555555555555601</v>
      </c>
      <c r="Y27" s="2">
        <v>1.8374999999999999</v>
      </c>
      <c r="Z27" s="2">
        <v>1.99</v>
      </c>
      <c r="AA27" s="27">
        <v>3.875</v>
      </c>
      <c r="AB27" s="27">
        <v>4.68888888888889</v>
      </c>
      <c r="AC27" s="27">
        <v>4.1777777777777798</v>
      </c>
      <c r="AD27" s="27">
        <v>1.95</v>
      </c>
      <c r="AE27" s="27">
        <v>3</v>
      </c>
      <c r="AF27" s="27">
        <v>3.7124999999999999</v>
      </c>
      <c r="AG27" s="27">
        <v>4.3888888888888902</v>
      </c>
      <c r="AH27" s="27">
        <v>3.6111111111111098</v>
      </c>
      <c r="AI27" s="27">
        <v>1.9125000000000001</v>
      </c>
      <c r="AJ27" s="27">
        <v>2.35</v>
      </c>
    </row>
    <row r="28" spans="1:36" x14ac:dyDescent="0.2">
      <c r="A28" s="2">
        <v>38794</v>
      </c>
      <c r="B28" s="2">
        <v>4</v>
      </c>
      <c r="C28" s="2">
        <v>3.11</v>
      </c>
      <c r="D28" s="2">
        <v>3.89</v>
      </c>
      <c r="E28" s="2">
        <v>3.13</v>
      </c>
      <c r="F28" s="2">
        <v>3.7</v>
      </c>
      <c r="G28" s="2">
        <v>3.0375000000000001</v>
      </c>
      <c r="H28" s="2">
        <v>4.0444444444444398</v>
      </c>
      <c r="I28" s="2">
        <v>3.4</v>
      </c>
      <c r="J28" s="2">
        <v>1.4750000000000001</v>
      </c>
      <c r="K28" s="2">
        <v>2.08</v>
      </c>
      <c r="L28" s="2">
        <v>3.9125000000000001</v>
      </c>
      <c r="M28" s="2">
        <v>4.0999999999999996</v>
      </c>
      <c r="N28" s="2">
        <v>4.1333333333333302</v>
      </c>
      <c r="O28" s="2">
        <v>1.8</v>
      </c>
      <c r="P28" s="2">
        <v>2.72</v>
      </c>
      <c r="Q28" s="2">
        <v>3.9249999999999998</v>
      </c>
      <c r="R28" s="2">
        <v>4.06666666666667</v>
      </c>
      <c r="S28" s="2">
        <v>2.6777777777777798</v>
      </c>
      <c r="T28" s="2">
        <v>1.8</v>
      </c>
      <c r="U28" s="2">
        <v>1.85</v>
      </c>
      <c r="V28" s="2">
        <v>3.8875000000000002</v>
      </c>
      <c r="W28" s="2">
        <v>4.5333333333333297</v>
      </c>
      <c r="X28" s="2">
        <v>3.7</v>
      </c>
      <c r="Y28" s="2">
        <v>1.9</v>
      </c>
      <c r="Z28" s="2">
        <v>2.2000000000000002</v>
      </c>
      <c r="AA28" s="27">
        <v>3.875</v>
      </c>
      <c r="AB28" s="27">
        <v>4.1444444444444404</v>
      </c>
      <c r="AC28" s="27">
        <v>3.1111111111111098</v>
      </c>
      <c r="AD28" s="27">
        <v>1.6625000000000001</v>
      </c>
      <c r="AE28" s="27">
        <v>2.15</v>
      </c>
      <c r="AF28" s="27">
        <v>3.8875000000000002</v>
      </c>
      <c r="AG28" s="27">
        <v>3.9888888888888898</v>
      </c>
      <c r="AH28" s="27">
        <v>3.9666666666666699</v>
      </c>
      <c r="AI28" s="27">
        <v>1.875</v>
      </c>
      <c r="AJ28" s="27">
        <v>2.52</v>
      </c>
    </row>
    <row r="29" spans="1:36" x14ac:dyDescent="0.2">
      <c r="A29" s="2">
        <v>38957</v>
      </c>
      <c r="B29" s="2">
        <v>4.25</v>
      </c>
      <c r="C29" s="2">
        <v>4.78</v>
      </c>
      <c r="D29" s="2">
        <v>4.78</v>
      </c>
      <c r="E29" s="2">
        <v>1.38</v>
      </c>
      <c r="F29" s="2">
        <v>4.7</v>
      </c>
      <c r="G29" s="2">
        <v>3.9249999999999998</v>
      </c>
      <c r="H29" s="2">
        <v>4.9000000000000004</v>
      </c>
      <c r="I29" s="2">
        <v>3.2777777777777799</v>
      </c>
      <c r="J29" s="2">
        <v>1.4624999999999999</v>
      </c>
      <c r="K29" s="2">
        <v>4.4800000000000004</v>
      </c>
      <c r="L29" s="2">
        <v>3.5</v>
      </c>
      <c r="M29" s="2">
        <v>4.4888888888888898</v>
      </c>
      <c r="N29" s="2">
        <v>3.7444444444444498</v>
      </c>
      <c r="O29" s="2">
        <v>3.7124999999999999</v>
      </c>
      <c r="P29" s="2">
        <v>3.99</v>
      </c>
      <c r="Q29" s="2">
        <v>4.5999999999999996</v>
      </c>
      <c r="R29" s="2">
        <v>4.9888888888888898</v>
      </c>
      <c r="S29" s="2">
        <v>3.0777777777777802</v>
      </c>
      <c r="T29" s="2">
        <v>1.825</v>
      </c>
      <c r="U29" s="2">
        <v>4.6900000000000004</v>
      </c>
      <c r="V29" s="2">
        <v>2.9125000000000001</v>
      </c>
      <c r="W29" s="2">
        <v>4.12222222222222</v>
      </c>
      <c r="X29" s="2">
        <v>3.1444444444444399</v>
      </c>
      <c r="Y29" s="2">
        <v>4.2249999999999996</v>
      </c>
      <c r="Z29" s="2">
        <v>3.37</v>
      </c>
      <c r="AA29" s="27">
        <v>4.3</v>
      </c>
      <c r="AB29" s="27">
        <v>4.9111111111111097</v>
      </c>
      <c r="AC29" s="27">
        <v>3.1111111111111098</v>
      </c>
      <c r="AD29" s="27">
        <v>1.55</v>
      </c>
      <c r="AE29" s="27">
        <v>4.3600000000000003</v>
      </c>
      <c r="AF29" s="27">
        <v>3.625</v>
      </c>
      <c r="AG29" s="27">
        <v>4.5</v>
      </c>
      <c r="AH29" s="27">
        <v>3.0111111111111102</v>
      </c>
      <c r="AI29" s="27">
        <v>4.3125</v>
      </c>
      <c r="AJ29" s="27">
        <v>3.88</v>
      </c>
    </row>
    <row r="30" spans="1:36" x14ac:dyDescent="0.2">
      <c r="A30" s="2">
        <v>39320</v>
      </c>
      <c r="B30" s="2">
        <v>3.38</v>
      </c>
      <c r="C30" s="2">
        <v>4.1100000000000003</v>
      </c>
      <c r="D30" s="2">
        <v>4.1100000000000003</v>
      </c>
      <c r="E30" s="2">
        <v>1.63</v>
      </c>
      <c r="F30" s="2">
        <v>3.2</v>
      </c>
      <c r="G30" s="2">
        <v>2.2749999999999999</v>
      </c>
      <c r="H30" s="2">
        <v>3.9555555555555602</v>
      </c>
      <c r="I30" s="2">
        <v>3.8333333333333299</v>
      </c>
      <c r="J30" s="2">
        <v>1.8374999999999999</v>
      </c>
      <c r="K30" s="2">
        <v>2.11</v>
      </c>
      <c r="L30" s="2">
        <v>2.0750000000000002</v>
      </c>
      <c r="M30" s="2">
        <v>3.9666666666666699</v>
      </c>
      <c r="N30" s="2">
        <v>2.81111111111111</v>
      </c>
      <c r="O30" s="2">
        <v>2.1625000000000001</v>
      </c>
      <c r="P30" s="2">
        <v>2.52</v>
      </c>
      <c r="Q30" s="2">
        <v>3.5625</v>
      </c>
      <c r="R30" s="2">
        <v>4.2111111111111104</v>
      </c>
      <c r="S30" s="2">
        <v>3.1</v>
      </c>
      <c r="T30" s="2">
        <v>1.9</v>
      </c>
      <c r="U30" s="2">
        <v>2.67</v>
      </c>
      <c r="V30" s="2">
        <v>1.85</v>
      </c>
      <c r="W30" s="2">
        <v>4.4666666666666703</v>
      </c>
      <c r="X30" s="2">
        <v>2.8333333333333299</v>
      </c>
      <c r="Y30" s="2">
        <v>4.6749999999999998</v>
      </c>
      <c r="Z30" s="2">
        <v>3.3</v>
      </c>
      <c r="AA30" s="27">
        <v>2.9750000000000001</v>
      </c>
      <c r="AB30" s="27">
        <v>3.93333333333333</v>
      </c>
      <c r="AC30" s="27">
        <v>3.3</v>
      </c>
      <c r="AD30" s="27">
        <v>1.9</v>
      </c>
      <c r="AE30" s="27">
        <v>2.19</v>
      </c>
      <c r="AF30" s="27">
        <v>2.7625000000000002</v>
      </c>
      <c r="AG30" s="27">
        <v>4.06666666666667</v>
      </c>
      <c r="AH30" s="27">
        <v>3.12222222222222</v>
      </c>
      <c r="AI30" s="27">
        <v>3.0750000000000002</v>
      </c>
      <c r="AJ30" s="27">
        <v>3.15</v>
      </c>
    </row>
    <row r="31" spans="1:36" x14ac:dyDescent="0.2">
      <c r="A31" s="2">
        <v>39756</v>
      </c>
      <c r="B31" s="2">
        <v>2.5</v>
      </c>
      <c r="C31" s="2">
        <v>3.11</v>
      </c>
      <c r="D31" s="2">
        <v>3.44</v>
      </c>
      <c r="E31" s="2">
        <v>4.13</v>
      </c>
      <c r="F31" s="2">
        <v>3.6</v>
      </c>
      <c r="G31" s="2">
        <v>2.1</v>
      </c>
      <c r="H31" s="2">
        <v>4.0444444444444398</v>
      </c>
      <c r="I31" s="2">
        <v>3.4555555555555602</v>
      </c>
      <c r="J31" s="2">
        <v>3.9125000000000001</v>
      </c>
      <c r="K31" s="2">
        <v>3.48</v>
      </c>
      <c r="L31" s="2">
        <v>2.15</v>
      </c>
      <c r="M31" s="2">
        <v>3.36666666666666</v>
      </c>
      <c r="N31" s="2">
        <v>3.2222222222222201</v>
      </c>
      <c r="O31" s="2">
        <v>1.25</v>
      </c>
      <c r="P31" s="2">
        <v>2.0299999999999998</v>
      </c>
      <c r="Q31" s="2">
        <v>2.4874999999999998</v>
      </c>
      <c r="R31" s="2">
        <v>4.1555555555555497</v>
      </c>
      <c r="S31" s="2">
        <v>3.1444444444444399</v>
      </c>
      <c r="T31" s="2">
        <v>3.9874999999999998</v>
      </c>
      <c r="U31" s="2">
        <v>3.62</v>
      </c>
      <c r="V31" s="2">
        <v>3.4874999999999998</v>
      </c>
      <c r="W31" s="2">
        <v>4.1444444444444404</v>
      </c>
      <c r="X31" s="2">
        <v>3.0333333333333301</v>
      </c>
      <c r="Y31" s="2">
        <v>1.8875</v>
      </c>
      <c r="Z31" s="2">
        <v>2.65</v>
      </c>
      <c r="AA31" s="27">
        <v>2.7625000000000002</v>
      </c>
      <c r="AB31" s="27">
        <v>4</v>
      </c>
      <c r="AC31" s="27">
        <v>3.12222222222222</v>
      </c>
      <c r="AD31" s="27">
        <v>3.375</v>
      </c>
      <c r="AE31" s="27">
        <v>3.93</v>
      </c>
      <c r="AF31" s="27">
        <v>3.0874999999999999</v>
      </c>
      <c r="AG31" s="27">
        <v>3.24444444444444</v>
      </c>
      <c r="AH31" s="27">
        <v>3.0111111111111102</v>
      </c>
      <c r="AI31" s="27">
        <v>1.8875</v>
      </c>
      <c r="AJ31" s="27">
        <v>2.16</v>
      </c>
    </row>
    <row r="32" spans="1:36" x14ac:dyDescent="0.2">
      <c r="A32" s="2">
        <v>40326</v>
      </c>
      <c r="B32" s="2">
        <v>3.63</v>
      </c>
      <c r="C32" s="2">
        <v>4.33</v>
      </c>
      <c r="D32" s="2">
        <v>4.67</v>
      </c>
      <c r="E32" s="2">
        <v>3.38</v>
      </c>
      <c r="F32" s="2">
        <v>4.4000000000000004</v>
      </c>
      <c r="G32" s="2">
        <v>3.2625000000000002</v>
      </c>
      <c r="H32" s="2">
        <v>4.36666666666666</v>
      </c>
      <c r="I32" s="2">
        <v>4.1555555555555497</v>
      </c>
      <c r="J32" s="2">
        <v>1.9875</v>
      </c>
      <c r="K32" s="2">
        <v>4.97</v>
      </c>
      <c r="L32" s="2">
        <v>3.9874999999999998</v>
      </c>
      <c r="M32" s="2">
        <v>3.9777777777777801</v>
      </c>
      <c r="N32" s="2">
        <v>4.0999999999999996</v>
      </c>
      <c r="O32" s="2">
        <v>1.875</v>
      </c>
      <c r="P32" s="2">
        <v>4.42</v>
      </c>
      <c r="Q32" s="2">
        <v>3.0874999999999999</v>
      </c>
      <c r="R32" s="2">
        <v>4.0111111111111102</v>
      </c>
      <c r="S32" s="2">
        <v>3.6444444444444501</v>
      </c>
      <c r="T32" s="2">
        <v>3.1749999999999998</v>
      </c>
      <c r="U32" s="2">
        <v>4.93</v>
      </c>
      <c r="V32" s="2">
        <v>2.9624999999999999</v>
      </c>
      <c r="W32" s="2">
        <v>2.75555555555556</v>
      </c>
      <c r="X32" s="2">
        <v>2.2666666666666599</v>
      </c>
      <c r="Y32" s="2">
        <v>3.2374999999999998</v>
      </c>
      <c r="Z32" s="2">
        <v>4.07</v>
      </c>
      <c r="AA32" s="27">
        <v>3.7875000000000001</v>
      </c>
      <c r="AB32" s="27">
        <v>4.43333333333333</v>
      </c>
      <c r="AC32" s="27">
        <v>4.12222222222222</v>
      </c>
      <c r="AD32" s="27">
        <v>1.95</v>
      </c>
      <c r="AE32" s="27">
        <v>4.9800000000000004</v>
      </c>
      <c r="AF32" s="27">
        <v>4.0625</v>
      </c>
      <c r="AG32" s="27">
        <v>3.6666666666666701</v>
      </c>
      <c r="AH32" s="27">
        <v>3.1777777777777798</v>
      </c>
      <c r="AI32" s="27">
        <v>1.925</v>
      </c>
      <c r="AJ32" s="27">
        <v>4.1100000000000003</v>
      </c>
    </row>
    <row r="33" spans="1:36" x14ac:dyDescent="0.2">
      <c r="A33" s="2">
        <v>40358</v>
      </c>
      <c r="B33" s="2">
        <v>4.25</v>
      </c>
      <c r="C33" s="2">
        <v>3.56</v>
      </c>
      <c r="D33" s="2">
        <v>4</v>
      </c>
      <c r="E33" s="2">
        <v>1.38</v>
      </c>
      <c r="F33" s="2">
        <v>3.3</v>
      </c>
      <c r="G33" s="2">
        <v>3.0625</v>
      </c>
      <c r="H33" s="2">
        <v>3.5111111111111102</v>
      </c>
      <c r="I33" s="2">
        <v>2.6111111111111098</v>
      </c>
      <c r="J33" s="2">
        <v>1.7875000000000001</v>
      </c>
      <c r="K33" s="2">
        <v>2.63</v>
      </c>
      <c r="L33" s="2">
        <v>3.6124999999999998</v>
      </c>
      <c r="M33" s="2">
        <v>2.9555555555555602</v>
      </c>
      <c r="N33" s="2">
        <v>3.06666666666667</v>
      </c>
      <c r="O33" s="2">
        <v>1.2625</v>
      </c>
      <c r="P33" s="2">
        <v>2.76</v>
      </c>
      <c r="Q33" s="2">
        <v>3.8374999999999999</v>
      </c>
      <c r="R33" s="2">
        <v>4.0333333333333297</v>
      </c>
      <c r="S33" s="2">
        <v>2.9777777777777801</v>
      </c>
      <c r="T33" s="2">
        <v>1.875</v>
      </c>
      <c r="U33" s="2">
        <v>2.57</v>
      </c>
      <c r="V33" s="2">
        <v>2.9624999999999999</v>
      </c>
      <c r="W33" s="2">
        <v>3.8333333333333299</v>
      </c>
      <c r="X33" s="2">
        <v>2.1111111111111098</v>
      </c>
      <c r="Y33" s="2">
        <v>3.9125000000000001</v>
      </c>
      <c r="Z33" s="2">
        <v>3.03</v>
      </c>
      <c r="AA33" s="27">
        <v>3.4125000000000001</v>
      </c>
      <c r="AB33" s="27">
        <v>3.6444444444444501</v>
      </c>
      <c r="AC33" s="27">
        <v>2.5333333333333301</v>
      </c>
      <c r="AD33" s="27">
        <v>1.875</v>
      </c>
      <c r="AE33" s="27">
        <v>2.65</v>
      </c>
      <c r="AF33" s="27">
        <v>3.75</v>
      </c>
      <c r="AG33" s="27">
        <v>3.0444444444444398</v>
      </c>
      <c r="AH33" s="27">
        <v>2.4</v>
      </c>
      <c r="AI33" s="27">
        <v>1.6875</v>
      </c>
      <c r="AJ33" s="27">
        <v>2.74</v>
      </c>
    </row>
    <row r="34" spans="1:36" x14ac:dyDescent="0.2">
      <c r="A34" s="2">
        <v>40377</v>
      </c>
      <c r="B34" s="2">
        <v>4.13</v>
      </c>
      <c r="C34" s="2">
        <v>4.67</v>
      </c>
      <c r="D34" s="2">
        <v>3.56</v>
      </c>
      <c r="E34" s="2">
        <v>2.5</v>
      </c>
      <c r="F34" s="2">
        <v>4.3</v>
      </c>
      <c r="G34" s="2">
        <v>3.8250000000000002</v>
      </c>
      <c r="H34" s="2">
        <v>4.7333333333333298</v>
      </c>
      <c r="I34" s="2">
        <v>3.4777777777777801</v>
      </c>
      <c r="J34" s="2">
        <v>1.55</v>
      </c>
      <c r="K34" s="2">
        <v>3.37</v>
      </c>
      <c r="L34" s="2">
        <v>3.6749999999999998</v>
      </c>
      <c r="M34" s="2">
        <v>4.5222222222222204</v>
      </c>
      <c r="N34" s="2">
        <v>3.9888888888888898</v>
      </c>
      <c r="O34" s="2">
        <v>1.9125000000000001</v>
      </c>
      <c r="P34" s="2">
        <v>3.49</v>
      </c>
      <c r="Q34" s="2">
        <v>4.05</v>
      </c>
      <c r="R34" s="2">
        <v>4.5888888888888903</v>
      </c>
      <c r="S34" s="2">
        <v>3.0888888888888899</v>
      </c>
      <c r="T34" s="2">
        <v>1.7875000000000001</v>
      </c>
      <c r="U34" s="2">
        <v>3.63</v>
      </c>
      <c r="V34" s="2">
        <v>3.25</v>
      </c>
      <c r="W34" s="2">
        <v>4.1111111111111098</v>
      </c>
      <c r="X34" s="2">
        <v>2.8444444444444401</v>
      </c>
      <c r="Y34" s="2">
        <v>2.6625000000000001</v>
      </c>
      <c r="Z34" s="2">
        <v>3.46</v>
      </c>
      <c r="AA34" s="27">
        <v>3.875</v>
      </c>
      <c r="AB34" s="27">
        <v>4.55555555555555</v>
      </c>
      <c r="AC34" s="27">
        <v>3.1111111111111098</v>
      </c>
      <c r="AD34" s="27">
        <v>1.8125</v>
      </c>
      <c r="AE34" s="27">
        <v>3.3</v>
      </c>
      <c r="AF34" s="27">
        <v>3.95</v>
      </c>
      <c r="AG34" s="27">
        <v>3.9888888888888898</v>
      </c>
      <c r="AH34" s="27">
        <v>3.1111111111111098</v>
      </c>
      <c r="AI34" s="27">
        <v>1.95</v>
      </c>
      <c r="AJ34" s="27">
        <v>3.16</v>
      </c>
    </row>
    <row r="35" spans="1:36" x14ac:dyDescent="0.2">
      <c r="A35" s="2">
        <v>40570</v>
      </c>
      <c r="B35" s="2">
        <v>4.13</v>
      </c>
      <c r="C35" s="2">
        <v>2</v>
      </c>
      <c r="D35" s="2">
        <v>3.56</v>
      </c>
      <c r="E35" s="2">
        <v>2.25</v>
      </c>
      <c r="F35" s="2">
        <v>5</v>
      </c>
      <c r="G35" s="2">
        <v>2.125</v>
      </c>
      <c r="H35" s="2">
        <v>3.2777777777777799</v>
      </c>
      <c r="I35" s="2">
        <v>2.5444444444444398</v>
      </c>
      <c r="J35" s="2">
        <v>2</v>
      </c>
      <c r="K35" s="2">
        <v>4.47</v>
      </c>
      <c r="L35" s="2">
        <v>3.8374999999999999</v>
      </c>
      <c r="M35" s="2">
        <v>3.3</v>
      </c>
      <c r="N35" s="2">
        <v>4.0999999999999996</v>
      </c>
      <c r="O35" s="2">
        <v>1.325</v>
      </c>
      <c r="P35" s="2">
        <v>4.5199999999999996</v>
      </c>
      <c r="Q35" s="2">
        <v>3.2250000000000001</v>
      </c>
      <c r="R35" s="2">
        <v>2.9777777777777801</v>
      </c>
      <c r="S35" s="2">
        <v>2.43333333333333</v>
      </c>
      <c r="T35" s="2">
        <v>3.15</v>
      </c>
      <c r="U35" s="2">
        <v>4.68</v>
      </c>
      <c r="V35" s="2">
        <v>2.95</v>
      </c>
      <c r="W35" s="2">
        <v>2.9</v>
      </c>
      <c r="X35" s="2">
        <v>3.5222222222222199</v>
      </c>
      <c r="Y35" s="2">
        <v>4.3624999999999998</v>
      </c>
      <c r="Z35" s="2">
        <v>3.81</v>
      </c>
      <c r="AA35" s="27">
        <v>2.6</v>
      </c>
      <c r="AB35" s="27">
        <v>3.31111111111111</v>
      </c>
      <c r="AC35" s="27">
        <v>2.36666666666666</v>
      </c>
      <c r="AD35" s="27">
        <v>2.4</v>
      </c>
      <c r="AE35" s="27">
        <v>4.58</v>
      </c>
      <c r="AF35" s="27">
        <v>4</v>
      </c>
      <c r="AG35" s="27">
        <v>3.3888888888888902</v>
      </c>
      <c r="AH35" s="27">
        <v>3.1111111111111098</v>
      </c>
      <c r="AI35" s="27">
        <v>1.8625</v>
      </c>
      <c r="AJ35" s="27">
        <v>4.66</v>
      </c>
    </row>
    <row r="36" spans="1:36" x14ac:dyDescent="0.2">
      <c r="A36" s="2">
        <v>41227</v>
      </c>
      <c r="B36" s="2">
        <v>4.13</v>
      </c>
      <c r="C36" s="2">
        <v>3.44</v>
      </c>
      <c r="D36" s="2">
        <v>3.78</v>
      </c>
      <c r="E36" s="2">
        <v>4.63</v>
      </c>
      <c r="F36" s="2">
        <v>4</v>
      </c>
      <c r="G36" s="2">
        <v>3.1749999999999998</v>
      </c>
      <c r="H36" s="2">
        <v>4.2222222222222197</v>
      </c>
      <c r="I36" s="2">
        <v>2.1111111111111098</v>
      </c>
      <c r="J36" s="2">
        <v>4.2125000000000004</v>
      </c>
      <c r="K36" s="2">
        <v>2.0699999999999998</v>
      </c>
      <c r="L36" s="2">
        <v>2.625</v>
      </c>
      <c r="M36" s="2">
        <v>3.6222222222222298</v>
      </c>
      <c r="N36" s="2">
        <v>2.0111111111111102</v>
      </c>
      <c r="O36" s="2">
        <v>2.0375000000000001</v>
      </c>
      <c r="P36" s="2">
        <v>1.65</v>
      </c>
      <c r="Q36" s="2">
        <v>3.7250000000000001</v>
      </c>
      <c r="R36" s="2">
        <v>4.0444444444444398</v>
      </c>
      <c r="S36" s="2">
        <v>2.1111111111111098</v>
      </c>
      <c r="T36" s="2">
        <v>4.3125</v>
      </c>
      <c r="U36" s="2">
        <v>2.09</v>
      </c>
      <c r="V36" s="2">
        <v>3.7</v>
      </c>
      <c r="W36" s="2">
        <v>2.6666666666666701</v>
      </c>
      <c r="X36" s="2">
        <v>2.1555555555555501</v>
      </c>
      <c r="Y36" s="2">
        <v>2.3374999999999999</v>
      </c>
      <c r="Z36" s="2">
        <v>1.77</v>
      </c>
      <c r="AA36" s="27">
        <v>3.2250000000000001</v>
      </c>
      <c r="AB36" s="27">
        <v>4.5777777777777802</v>
      </c>
      <c r="AC36" s="27">
        <v>2.1111111111111098</v>
      </c>
      <c r="AD36" s="27">
        <v>3.9750000000000001</v>
      </c>
      <c r="AE36" s="27">
        <v>2.08</v>
      </c>
      <c r="AF36" s="27">
        <v>3.625</v>
      </c>
      <c r="AG36" s="27">
        <v>3.5777777777777802</v>
      </c>
      <c r="AH36" s="27">
        <v>2.0111111111111102</v>
      </c>
      <c r="AI36" s="27">
        <v>2.15</v>
      </c>
      <c r="AJ36" s="27">
        <v>1.68</v>
      </c>
    </row>
    <row r="37" spans="1:36" x14ac:dyDescent="0.2">
      <c r="A37" s="2">
        <v>41384</v>
      </c>
      <c r="B37" s="2">
        <v>3.38</v>
      </c>
      <c r="C37" s="2">
        <v>4.5599999999999996</v>
      </c>
      <c r="D37" s="2">
        <v>4.22</v>
      </c>
      <c r="E37" s="2">
        <v>1.63</v>
      </c>
      <c r="F37" s="2">
        <v>4</v>
      </c>
      <c r="G37" s="2">
        <v>3.3125</v>
      </c>
      <c r="H37" s="2">
        <v>2.2000000000000002</v>
      </c>
      <c r="I37" s="2">
        <v>3.5777777777777802</v>
      </c>
      <c r="J37" s="2">
        <v>2.8125</v>
      </c>
      <c r="K37" s="2">
        <v>3.41</v>
      </c>
      <c r="L37" s="2">
        <v>3.8125</v>
      </c>
      <c r="M37" s="2">
        <v>1.1555555555555499</v>
      </c>
      <c r="N37" s="2">
        <v>1.7666666666666699</v>
      </c>
      <c r="O37" s="2">
        <v>4.1375000000000002</v>
      </c>
      <c r="P37" s="2">
        <v>1.89</v>
      </c>
      <c r="Q37" s="2">
        <v>3.5625</v>
      </c>
      <c r="R37" s="2">
        <v>1.8333333333333399</v>
      </c>
      <c r="S37" s="2">
        <v>2.06666666666667</v>
      </c>
      <c r="T37" s="2">
        <v>3.55</v>
      </c>
      <c r="U37" s="2">
        <v>3.13</v>
      </c>
      <c r="V37" s="2">
        <v>3.7625000000000002</v>
      </c>
      <c r="W37" s="2">
        <v>1.0888888888888899</v>
      </c>
      <c r="X37" s="2">
        <v>2.0111111111111102</v>
      </c>
      <c r="Y37" s="2">
        <v>4.1500000000000004</v>
      </c>
      <c r="Z37" s="2">
        <v>1.81</v>
      </c>
      <c r="AA37" s="27">
        <v>4.2625000000000002</v>
      </c>
      <c r="AB37" s="27">
        <v>1.93333333333333</v>
      </c>
      <c r="AC37" s="27">
        <v>2.0333333333333301</v>
      </c>
      <c r="AD37" s="27">
        <v>3.3125</v>
      </c>
      <c r="AE37" s="27">
        <v>3.01</v>
      </c>
      <c r="AF37" s="27">
        <v>4.4625000000000004</v>
      </c>
      <c r="AG37" s="27">
        <v>1.2</v>
      </c>
      <c r="AH37" s="27">
        <v>1.4</v>
      </c>
      <c r="AI37" s="27">
        <v>4.4874999999999998</v>
      </c>
      <c r="AJ37" s="27">
        <v>1.95</v>
      </c>
    </row>
    <row r="38" spans="1:36" x14ac:dyDescent="0.2">
      <c r="A38" s="2">
        <v>41788</v>
      </c>
      <c r="B38" s="2">
        <v>2.88</v>
      </c>
      <c r="C38" s="2">
        <v>3.44</v>
      </c>
      <c r="D38" s="2">
        <v>2.44</v>
      </c>
      <c r="E38" s="2">
        <v>3.25</v>
      </c>
      <c r="F38" s="2">
        <v>4.3</v>
      </c>
      <c r="G38" s="2">
        <v>2.0249999999999999</v>
      </c>
      <c r="H38" s="2">
        <v>3.2555555555555502</v>
      </c>
      <c r="I38" s="2">
        <v>2.2333333333333298</v>
      </c>
      <c r="J38" s="2">
        <v>3.9624999999999999</v>
      </c>
      <c r="K38" s="2">
        <v>2.67</v>
      </c>
      <c r="L38" s="2">
        <v>2.5874999999999999</v>
      </c>
      <c r="M38" s="2">
        <v>3.3555555555555499</v>
      </c>
      <c r="N38" s="2">
        <v>2.2222222222222201</v>
      </c>
      <c r="O38" s="2">
        <v>3.9624999999999999</v>
      </c>
      <c r="P38" s="2">
        <v>4.25</v>
      </c>
      <c r="Q38" s="2">
        <v>2.3624999999999998</v>
      </c>
      <c r="R38" s="2">
        <v>2.6444444444444399</v>
      </c>
      <c r="S38" s="2">
        <v>2.0777777777777802</v>
      </c>
      <c r="T38" s="2">
        <v>4.6624999999999996</v>
      </c>
      <c r="U38" s="2">
        <v>2.4700000000000002</v>
      </c>
      <c r="V38" s="2">
        <v>2.8624999999999998</v>
      </c>
      <c r="W38" s="2">
        <v>2.8888888888888902</v>
      </c>
      <c r="X38" s="2">
        <v>2.8888888888888902</v>
      </c>
      <c r="Y38" s="2">
        <v>3.9</v>
      </c>
      <c r="Z38" s="2">
        <v>3.7</v>
      </c>
      <c r="AA38" s="27">
        <v>2.5625</v>
      </c>
      <c r="AB38" s="27">
        <v>3.0777777777777802</v>
      </c>
      <c r="AC38" s="27">
        <v>2.1333333333333302</v>
      </c>
      <c r="AD38" s="27">
        <v>4</v>
      </c>
      <c r="AE38" s="27">
        <v>2.87</v>
      </c>
      <c r="AF38" s="27">
        <v>2.9375</v>
      </c>
      <c r="AG38" s="27">
        <v>3.2111111111111099</v>
      </c>
      <c r="AH38" s="27">
        <v>2.1111111111111098</v>
      </c>
      <c r="AI38" s="27">
        <v>4</v>
      </c>
      <c r="AJ38" s="27">
        <v>4.32</v>
      </c>
    </row>
    <row r="39" spans="1:36" x14ac:dyDescent="0.2">
      <c r="A39" s="2">
        <v>41919</v>
      </c>
      <c r="B39" s="2">
        <v>3.38</v>
      </c>
      <c r="C39" s="2">
        <v>3.78</v>
      </c>
      <c r="D39" s="2">
        <v>4.5599999999999996</v>
      </c>
      <c r="E39" s="2">
        <v>2.25</v>
      </c>
      <c r="F39" s="2">
        <v>3.8</v>
      </c>
      <c r="G39" s="2">
        <v>2.125</v>
      </c>
      <c r="H39" s="2">
        <v>3.5666666666666602</v>
      </c>
      <c r="I39" s="2">
        <v>2.4888888888888898</v>
      </c>
      <c r="J39" s="2">
        <v>2.0499999999999998</v>
      </c>
      <c r="K39" s="2">
        <v>2.2400000000000002</v>
      </c>
      <c r="L39" s="2">
        <v>2.4375</v>
      </c>
      <c r="M39" s="2">
        <v>4.0222222222222204</v>
      </c>
      <c r="N39" s="2">
        <v>2.0444444444444398</v>
      </c>
      <c r="O39" s="2">
        <v>2.375</v>
      </c>
      <c r="P39" s="2">
        <v>2.31</v>
      </c>
      <c r="Q39" s="2">
        <v>2.6124999999999998</v>
      </c>
      <c r="R39" s="2">
        <v>3.5444444444444398</v>
      </c>
      <c r="S39" s="2">
        <v>3.3</v>
      </c>
      <c r="T39" s="2">
        <v>3.2250000000000001</v>
      </c>
      <c r="U39" s="2">
        <v>2.15</v>
      </c>
      <c r="V39" s="2">
        <v>2.7250000000000001</v>
      </c>
      <c r="W39" s="2">
        <v>3.0111111111111102</v>
      </c>
      <c r="X39" s="2">
        <v>2.3444444444444401</v>
      </c>
      <c r="Y39" s="2">
        <v>3.0750000000000002</v>
      </c>
      <c r="Z39" s="2">
        <v>2.06</v>
      </c>
      <c r="AA39" s="27">
        <v>2.6124999999999998</v>
      </c>
      <c r="AB39" s="27">
        <v>3.5222222222222199</v>
      </c>
      <c r="AC39" s="27">
        <v>2.1</v>
      </c>
      <c r="AD39" s="27">
        <v>2.1375000000000002</v>
      </c>
      <c r="AE39" s="27">
        <v>2.2599999999999998</v>
      </c>
      <c r="AF39" s="27">
        <v>3.6</v>
      </c>
      <c r="AG39" s="27">
        <v>3.7</v>
      </c>
      <c r="AH39" s="27">
        <v>2</v>
      </c>
      <c r="AI39" s="27">
        <v>2.8125</v>
      </c>
      <c r="AJ39" s="27">
        <v>2.58</v>
      </c>
    </row>
    <row r="40" spans="1:36" x14ac:dyDescent="0.2">
      <c r="A40" s="2">
        <v>43118</v>
      </c>
      <c r="B40" s="2">
        <v>2.88</v>
      </c>
      <c r="C40" s="2">
        <v>4.78</v>
      </c>
      <c r="D40" s="2">
        <v>4.33</v>
      </c>
      <c r="E40" s="2">
        <v>1.75</v>
      </c>
      <c r="F40" s="2">
        <v>3.2</v>
      </c>
      <c r="G40" s="2">
        <v>3.25</v>
      </c>
      <c r="H40" s="2">
        <v>4.1777777777777798</v>
      </c>
      <c r="I40" s="2">
        <v>3.2333333333333298</v>
      </c>
      <c r="J40" s="2">
        <v>1.35</v>
      </c>
      <c r="K40" s="2">
        <v>2.0499999999999998</v>
      </c>
      <c r="L40" s="2">
        <v>2.125</v>
      </c>
      <c r="M40" s="2">
        <v>4.3333333333333304</v>
      </c>
      <c r="N40" s="2">
        <v>2.9777777777777801</v>
      </c>
      <c r="O40" s="2">
        <v>2.0750000000000002</v>
      </c>
      <c r="P40" s="2">
        <v>2.12</v>
      </c>
      <c r="Q40" s="2">
        <v>4.4625000000000004</v>
      </c>
      <c r="R40" s="2">
        <v>3.5888888888888899</v>
      </c>
      <c r="S40" s="2">
        <v>3.0444444444444398</v>
      </c>
      <c r="T40" s="2">
        <v>1.95</v>
      </c>
      <c r="U40" s="2">
        <v>2.42</v>
      </c>
      <c r="V40" s="2">
        <v>3.2749999999999999</v>
      </c>
      <c r="W40" s="2">
        <v>3.68888888888889</v>
      </c>
      <c r="X40" s="2">
        <v>3.1555555555555599</v>
      </c>
      <c r="Y40" s="2">
        <v>3.6124999999999998</v>
      </c>
      <c r="Z40" s="2">
        <v>2.31</v>
      </c>
      <c r="AA40" s="27">
        <v>4</v>
      </c>
      <c r="AB40" s="27">
        <v>4.1444444444444404</v>
      </c>
      <c r="AC40" s="27">
        <v>3.0666666666666602</v>
      </c>
      <c r="AD40" s="27">
        <v>1.4624999999999999</v>
      </c>
      <c r="AE40" s="27">
        <v>2.25</v>
      </c>
      <c r="AF40" s="27">
        <v>2.35</v>
      </c>
      <c r="AG40" s="27">
        <v>4.0999999999999996</v>
      </c>
      <c r="AH40" s="27">
        <v>2.6333333333333302</v>
      </c>
      <c r="AI40" s="27">
        <v>3.0625</v>
      </c>
      <c r="AJ40" s="27">
        <v>2.1</v>
      </c>
    </row>
    <row r="41" spans="1:36" x14ac:dyDescent="0.2">
      <c r="A41" s="2">
        <v>43294</v>
      </c>
      <c r="B41" s="2">
        <v>4.13</v>
      </c>
      <c r="C41" s="2">
        <v>4</v>
      </c>
      <c r="D41" s="2">
        <v>4.22</v>
      </c>
      <c r="E41" s="2">
        <v>2.25</v>
      </c>
      <c r="F41" s="2">
        <v>3</v>
      </c>
      <c r="G41" s="2">
        <v>2.9624999999999999</v>
      </c>
      <c r="H41" s="2">
        <v>4.4444444444444402</v>
      </c>
      <c r="I41" s="2">
        <v>3.1666666666666599</v>
      </c>
      <c r="J41" s="2">
        <v>1.5125</v>
      </c>
      <c r="K41" s="2">
        <v>2.56</v>
      </c>
      <c r="L41" s="2">
        <v>3.6875</v>
      </c>
      <c r="M41" s="2">
        <v>4.7888888888888896</v>
      </c>
      <c r="N41" s="2">
        <v>4.0111111111111102</v>
      </c>
      <c r="O41" s="2">
        <v>1</v>
      </c>
      <c r="P41" s="2">
        <v>2.25</v>
      </c>
      <c r="Q41" s="2">
        <v>3.6749999999999998</v>
      </c>
      <c r="R41" s="2">
        <v>4.3444444444444397</v>
      </c>
      <c r="S41" s="2">
        <v>3.0333333333333301</v>
      </c>
      <c r="T41" s="2">
        <v>1.875</v>
      </c>
      <c r="U41" s="2">
        <v>2.87</v>
      </c>
      <c r="V41" s="2">
        <v>2.875</v>
      </c>
      <c r="W41" s="2">
        <v>4.0999999999999996</v>
      </c>
      <c r="X41" s="2">
        <v>3.0777777777777802</v>
      </c>
      <c r="Y41" s="2">
        <v>3.9249999999999998</v>
      </c>
      <c r="Z41" s="2">
        <v>2.4300000000000002</v>
      </c>
      <c r="AA41" s="27">
        <v>2.9874999999999998</v>
      </c>
      <c r="AB41" s="27">
        <v>4.4000000000000004</v>
      </c>
      <c r="AC41" s="27">
        <v>2.5333333333333301</v>
      </c>
      <c r="AD41" s="27">
        <v>1.2875000000000001</v>
      </c>
      <c r="AE41" s="27">
        <v>2.2400000000000002</v>
      </c>
      <c r="AF41" s="27">
        <v>4</v>
      </c>
      <c r="AG41" s="27">
        <v>4.5888888888888903</v>
      </c>
      <c r="AH41" s="27">
        <v>3.18888888888889</v>
      </c>
      <c r="AI41" s="27">
        <v>1.7</v>
      </c>
      <c r="AJ41" s="27">
        <v>2.33</v>
      </c>
    </row>
    <row r="42" spans="1:36" x14ac:dyDescent="0.2">
      <c r="A42" s="2">
        <v>44256</v>
      </c>
      <c r="B42" s="2">
        <v>3.63</v>
      </c>
      <c r="C42" s="2">
        <v>4.4400000000000004</v>
      </c>
      <c r="D42" s="2">
        <v>4.5599999999999996</v>
      </c>
      <c r="E42" s="2">
        <v>1.88</v>
      </c>
      <c r="F42" s="2">
        <v>4.5</v>
      </c>
      <c r="G42" s="2">
        <v>2.9249999999999998</v>
      </c>
      <c r="H42" s="2">
        <v>3.8444444444444499</v>
      </c>
      <c r="I42" s="2">
        <v>3.6666666666666701</v>
      </c>
      <c r="J42" s="2">
        <v>1.6125</v>
      </c>
      <c r="K42" s="2">
        <v>2.76</v>
      </c>
      <c r="L42" s="2">
        <v>3.35</v>
      </c>
      <c r="M42" s="2">
        <v>4.93333333333333</v>
      </c>
      <c r="N42" s="2">
        <v>4.1444444444444404</v>
      </c>
      <c r="O42" s="2">
        <v>1.0125</v>
      </c>
      <c r="P42" s="2">
        <v>3.4</v>
      </c>
      <c r="Q42" s="2">
        <v>4</v>
      </c>
      <c r="R42" s="2">
        <v>2.8</v>
      </c>
      <c r="S42" s="2">
        <v>2.8</v>
      </c>
      <c r="T42" s="2">
        <v>3.1749999999999998</v>
      </c>
      <c r="U42" s="2">
        <v>2.64</v>
      </c>
      <c r="V42" s="2">
        <v>3.7124999999999999</v>
      </c>
      <c r="W42" s="2">
        <v>4.3333333333333304</v>
      </c>
      <c r="X42" s="2">
        <v>3.0111111111111102</v>
      </c>
      <c r="Y42" s="2">
        <v>3.8875000000000002</v>
      </c>
      <c r="Z42" s="2">
        <v>3.06</v>
      </c>
      <c r="AA42" s="27">
        <v>3.2749999999999999</v>
      </c>
      <c r="AB42" s="27">
        <v>3.7888888888888901</v>
      </c>
      <c r="AC42" s="27">
        <v>3.0222222222222199</v>
      </c>
      <c r="AD42" s="27">
        <v>1.85</v>
      </c>
      <c r="AE42" s="27">
        <v>2.76</v>
      </c>
      <c r="AF42" s="27">
        <v>4.8250000000000002</v>
      </c>
      <c r="AG42" s="27">
        <v>4.9444444444444402</v>
      </c>
      <c r="AH42" s="27">
        <v>3.1777777777777798</v>
      </c>
      <c r="AI42" s="27">
        <v>1.3</v>
      </c>
      <c r="AJ42" s="27">
        <v>3.45</v>
      </c>
    </row>
    <row r="43" spans="1:36" x14ac:dyDescent="0.2">
      <c r="A43" s="2">
        <v>46188</v>
      </c>
      <c r="B43" s="2">
        <v>2.63</v>
      </c>
      <c r="C43" s="2">
        <v>4.22</v>
      </c>
      <c r="D43" s="2">
        <v>4.22</v>
      </c>
      <c r="E43" s="2">
        <v>3.25</v>
      </c>
      <c r="F43" s="2">
        <v>2.6</v>
      </c>
      <c r="G43" s="2">
        <v>3.5750000000000002</v>
      </c>
      <c r="H43" s="2">
        <v>4.3222222222222202</v>
      </c>
      <c r="I43" s="2">
        <v>2.6444444444444501</v>
      </c>
      <c r="J43" s="2">
        <v>1.8</v>
      </c>
      <c r="K43" s="2">
        <v>3.05</v>
      </c>
      <c r="L43" s="2">
        <v>2.8624999999999998</v>
      </c>
      <c r="M43" s="2">
        <v>4.5222222222222204</v>
      </c>
      <c r="N43" s="2">
        <v>2.6666666666666701</v>
      </c>
      <c r="O43" s="2">
        <v>1.55</v>
      </c>
      <c r="P43" s="2">
        <v>3.04</v>
      </c>
      <c r="Q43" s="2">
        <v>3.75</v>
      </c>
      <c r="R43" s="2">
        <v>4.2888888888888896</v>
      </c>
      <c r="S43" s="2">
        <v>4.0111111111111102</v>
      </c>
      <c r="T43" s="2">
        <v>3.1124999999999998</v>
      </c>
      <c r="U43" s="2">
        <v>2.09</v>
      </c>
      <c r="V43" s="2">
        <v>3.7625000000000002</v>
      </c>
      <c r="W43" s="2">
        <v>4.1444444444444404</v>
      </c>
      <c r="X43" s="2">
        <v>2.0888888888888899</v>
      </c>
      <c r="Y43" s="2">
        <v>2.8624999999999998</v>
      </c>
      <c r="Z43" s="2">
        <v>4.0599999999999996</v>
      </c>
      <c r="AA43" s="27">
        <v>4.0250000000000004</v>
      </c>
      <c r="AB43" s="27">
        <v>4.36666666666666</v>
      </c>
      <c r="AC43" s="27">
        <v>2.2888888888888901</v>
      </c>
      <c r="AD43" s="27">
        <v>1.8875</v>
      </c>
      <c r="AE43" s="27">
        <v>2.86</v>
      </c>
      <c r="AF43" s="27">
        <v>3.0625</v>
      </c>
      <c r="AG43" s="27">
        <v>4.4888888888888898</v>
      </c>
      <c r="AH43" s="27">
        <v>2.1333333333333302</v>
      </c>
      <c r="AI43" s="27">
        <v>1.825</v>
      </c>
      <c r="AJ43" s="27">
        <v>2.83</v>
      </c>
    </row>
    <row r="44" spans="1:36" x14ac:dyDescent="0.2">
      <c r="A44" s="2">
        <v>46509</v>
      </c>
      <c r="B44" s="2">
        <v>4.13</v>
      </c>
      <c r="C44" s="2">
        <v>5</v>
      </c>
      <c r="D44" s="2">
        <v>4.78</v>
      </c>
      <c r="E44" s="2">
        <v>1</v>
      </c>
      <c r="F44" s="2">
        <v>4.0999999999999996</v>
      </c>
      <c r="G44" s="2">
        <v>2.5375000000000001</v>
      </c>
      <c r="H44" s="2">
        <v>4.24444444444444</v>
      </c>
      <c r="I44" s="2">
        <v>4</v>
      </c>
      <c r="J44" s="2">
        <v>1.5249999999999999</v>
      </c>
      <c r="K44" s="2">
        <v>2.9</v>
      </c>
      <c r="L44" s="2">
        <v>2.5499999999999998</v>
      </c>
      <c r="M44" s="2">
        <v>4.0999999999999996</v>
      </c>
      <c r="N44" s="2">
        <v>3.93333333333333</v>
      </c>
      <c r="O44" s="2">
        <v>2</v>
      </c>
      <c r="P44" s="2">
        <v>2.91</v>
      </c>
      <c r="Q44" s="2">
        <v>3.5375000000000001</v>
      </c>
      <c r="R44" s="2">
        <v>4.24444444444444</v>
      </c>
      <c r="S44" s="2">
        <v>3.6333333333333302</v>
      </c>
      <c r="T44" s="2">
        <v>1.925</v>
      </c>
      <c r="U44" s="2">
        <v>3.09</v>
      </c>
      <c r="V44" s="2">
        <v>2.5750000000000002</v>
      </c>
      <c r="W44" s="2">
        <v>3.6111111111111098</v>
      </c>
      <c r="X44" s="2">
        <v>2.6777777777777798</v>
      </c>
      <c r="Y44" s="2">
        <v>3.9624999999999999</v>
      </c>
      <c r="Z44" s="2">
        <v>2.9</v>
      </c>
      <c r="AA44" s="27">
        <v>3.0375000000000001</v>
      </c>
      <c r="AB44" s="27">
        <v>4.24444444444444</v>
      </c>
      <c r="AC44" s="27">
        <v>4</v>
      </c>
      <c r="AD44" s="27">
        <v>1.875</v>
      </c>
      <c r="AE44" s="27">
        <v>3.03</v>
      </c>
      <c r="AF44" s="27">
        <v>3.5375000000000001</v>
      </c>
      <c r="AG44" s="27">
        <v>3.9666666666666699</v>
      </c>
      <c r="AH44" s="27">
        <v>3.3222222222222202</v>
      </c>
      <c r="AI44" s="27">
        <v>1.9750000000000001</v>
      </c>
      <c r="AJ44" s="27">
        <v>2.84</v>
      </c>
    </row>
    <row r="45" spans="1:36" x14ac:dyDescent="0.2">
      <c r="A45" s="2">
        <v>46711</v>
      </c>
      <c r="B45" s="2">
        <v>1.5</v>
      </c>
      <c r="C45" s="2">
        <v>3.78</v>
      </c>
      <c r="D45" s="2">
        <v>4.4400000000000004</v>
      </c>
      <c r="E45" s="2">
        <v>2.25</v>
      </c>
      <c r="F45" s="2">
        <v>3.2</v>
      </c>
      <c r="G45" s="2">
        <v>2.15</v>
      </c>
      <c r="H45" s="2">
        <v>2.3333333333333299</v>
      </c>
      <c r="I45" s="2">
        <v>4.2111111111111104</v>
      </c>
      <c r="J45" s="2">
        <v>1.45</v>
      </c>
      <c r="K45" s="2">
        <v>2.19</v>
      </c>
      <c r="L45" s="2">
        <v>2.2124999999999999</v>
      </c>
      <c r="M45" s="2">
        <v>3.81111111111111</v>
      </c>
      <c r="N45" s="2">
        <v>4.0444444444444398</v>
      </c>
      <c r="O45" s="2">
        <v>1.4624999999999999</v>
      </c>
      <c r="P45" s="2">
        <v>2.14</v>
      </c>
      <c r="Q45" s="2">
        <v>3.3</v>
      </c>
      <c r="R45" s="2">
        <v>3.0111111111111102</v>
      </c>
      <c r="S45" s="2">
        <v>4.5111111111111102</v>
      </c>
      <c r="T45" s="2">
        <v>2.9375</v>
      </c>
      <c r="U45" s="2">
        <v>3.12</v>
      </c>
      <c r="V45" s="2">
        <v>4.0625</v>
      </c>
      <c r="W45" s="2">
        <v>3.2</v>
      </c>
      <c r="X45" s="2">
        <v>3.9555555555555499</v>
      </c>
      <c r="Y45" s="2">
        <v>3.5625</v>
      </c>
      <c r="Z45" s="2">
        <v>3.02</v>
      </c>
      <c r="AA45" s="27">
        <v>2.6375000000000002</v>
      </c>
      <c r="AB45" s="27">
        <v>2.4111111111111101</v>
      </c>
      <c r="AC45" s="27">
        <v>4</v>
      </c>
      <c r="AD45" s="27">
        <v>1.2625</v>
      </c>
      <c r="AE45" s="27">
        <v>2.63</v>
      </c>
      <c r="AF45" s="27">
        <v>3.125</v>
      </c>
      <c r="AG45" s="27">
        <v>3.7888888888888901</v>
      </c>
      <c r="AH45" s="27">
        <v>3.9666666666666699</v>
      </c>
      <c r="AI45" s="27">
        <v>1.6875</v>
      </c>
      <c r="AJ45" s="27">
        <v>2.31</v>
      </c>
    </row>
    <row r="46" spans="1:36" x14ac:dyDescent="0.2">
      <c r="A46" s="2">
        <v>46796</v>
      </c>
      <c r="B46" s="2">
        <v>4.13</v>
      </c>
      <c r="C46" s="2">
        <v>4.22</v>
      </c>
      <c r="D46" s="2">
        <v>3.11</v>
      </c>
      <c r="E46" s="2">
        <v>1.5</v>
      </c>
      <c r="F46" s="2">
        <v>4.2</v>
      </c>
      <c r="G46" s="2">
        <v>3.0125000000000002</v>
      </c>
      <c r="H46" s="2">
        <v>4.31111111111111</v>
      </c>
      <c r="I46" s="2">
        <v>3.63333333333334</v>
      </c>
      <c r="J46" s="2">
        <v>1.875</v>
      </c>
      <c r="K46" s="2">
        <v>3.88</v>
      </c>
      <c r="L46" s="2">
        <v>3.5750000000000002</v>
      </c>
      <c r="M46" s="2">
        <v>3.5333333333333301</v>
      </c>
      <c r="N46" s="2">
        <v>2.5555555555555598</v>
      </c>
      <c r="O46" s="2">
        <v>1.5125</v>
      </c>
      <c r="P46" s="2">
        <v>3.56</v>
      </c>
      <c r="Q46" s="2">
        <v>3.7374999999999998</v>
      </c>
      <c r="R46" s="2">
        <v>4.1666666666666599</v>
      </c>
      <c r="S46" s="2">
        <v>3.1</v>
      </c>
      <c r="T46" s="2">
        <v>2</v>
      </c>
      <c r="U46" s="2">
        <v>4.22</v>
      </c>
      <c r="V46" s="2">
        <v>4.3875000000000002</v>
      </c>
      <c r="W46" s="2">
        <v>2.68888888888889</v>
      </c>
      <c r="X46" s="2">
        <v>2.1555555555555501</v>
      </c>
      <c r="Y46" s="2">
        <v>2.2625000000000002</v>
      </c>
      <c r="Z46" s="2">
        <v>2.82</v>
      </c>
      <c r="AA46" s="27">
        <v>3.4249999999999998</v>
      </c>
      <c r="AB46" s="27">
        <v>4.36666666666666</v>
      </c>
      <c r="AC46" s="27">
        <v>3.3555555555555499</v>
      </c>
      <c r="AD46" s="27">
        <v>1.85</v>
      </c>
      <c r="AE46" s="27">
        <v>3.87</v>
      </c>
      <c r="AF46" s="27">
        <v>4.7</v>
      </c>
      <c r="AG46" s="27">
        <v>3.3333333333333299</v>
      </c>
      <c r="AH46" s="27">
        <v>2.1444444444444399</v>
      </c>
      <c r="AI46" s="27">
        <v>1.3</v>
      </c>
      <c r="AJ46" s="27">
        <v>3.54</v>
      </c>
    </row>
    <row r="47" spans="1:36" x14ac:dyDescent="0.2">
      <c r="A47" s="2">
        <v>47804</v>
      </c>
      <c r="B47" s="2">
        <v>2.13</v>
      </c>
      <c r="C47" s="2">
        <v>3.89</v>
      </c>
      <c r="D47" s="2">
        <v>4.8899999999999997</v>
      </c>
      <c r="E47" s="2">
        <v>3.75</v>
      </c>
      <c r="F47" s="2">
        <v>2.9</v>
      </c>
      <c r="G47" s="2">
        <v>2</v>
      </c>
      <c r="H47" s="2">
        <v>4.2666666666666604</v>
      </c>
      <c r="I47" s="2">
        <v>3.6777777777777798</v>
      </c>
      <c r="J47" s="2">
        <v>2.7625000000000002</v>
      </c>
      <c r="K47" s="2">
        <v>2.56</v>
      </c>
      <c r="L47" s="2">
        <v>2.375</v>
      </c>
      <c r="M47" s="2">
        <v>4.24444444444444</v>
      </c>
      <c r="N47" s="2">
        <v>4.3555555555555596</v>
      </c>
      <c r="O47" s="2">
        <v>1.8875</v>
      </c>
      <c r="P47" s="2">
        <v>3</v>
      </c>
      <c r="Q47" s="2">
        <v>3.35</v>
      </c>
      <c r="R47" s="2">
        <v>4.31111111111111</v>
      </c>
      <c r="S47" s="2">
        <v>3.6555555555555599</v>
      </c>
      <c r="T47" s="2">
        <v>3.0750000000000002</v>
      </c>
      <c r="U47" s="2">
        <v>2.96</v>
      </c>
      <c r="V47" s="2">
        <v>3.7875000000000001</v>
      </c>
      <c r="W47" s="2">
        <v>4.3333333333333304</v>
      </c>
      <c r="X47" s="2">
        <v>3.3888888888888902</v>
      </c>
      <c r="Y47" s="2">
        <v>1.925</v>
      </c>
      <c r="Z47" s="2">
        <v>2.94</v>
      </c>
      <c r="AA47" s="27">
        <v>2.2000000000000002</v>
      </c>
      <c r="AB47" s="27">
        <v>4.43333333333333</v>
      </c>
      <c r="AC47" s="27">
        <v>3.1555555555555599</v>
      </c>
      <c r="AD47" s="27">
        <v>3.15</v>
      </c>
      <c r="AE47" s="27">
        <v>2.68</v>
      </c>
      <c r="AF47" s="27">
        <v>2.9624999999999999</v>
      </c>
      <c r="AG47" s="27">
        <v>4.4444444444444402</v>
      </c>
      <c r="AH47" s="27">
        <v>4.0111111111111102</v>
      </c>
      <c r="AI47" s="27">
        <v>2</v>
      </c>
      <c r="AJ47" s="27">
        <v>3.03</v>
      </c>
    </row>
    <row r="48" spans="1:36" x14ac:dyDescent="0.2">
      <c r="A48" s="2">
        <v>48354</v>
      </c>
      <c r="B48" s="2">
        <v>3.75</v>
      </c>
      <c r="C48" s="2">
        <v>3.78</v>
      </c>
      <c r="D48" s="2">
        <v>3</v>
      </c>
      <c r="E48" s="2">
        <v>3.63</v>
      </c>
      <c r="F48" s="2">
        <v>2.4</v>
      </c>
      <c r="G48" s="2">
        <v>2.9125000000000001</v>
      </c>
      <c r="H48" s="2">
        <v>4.4000000000000004</v>
      </c>
      <c r="I48" s="2">
        <v>3.93333333333333</v>
      </c>
      <c r="J48" s="2">
        <v>3.375</v>
      </c>
      <c r="K48" s="2">
        <v>3.14</v>
      </c>
      <c r="L48" s="2">
        <v>3.3250000000000002</v>
      </c>
      <c r="M48" s="2">
        <v>4.3</v>
      </c>
      <c r="N48" s="2">
        <v>3.18888888888889</v>
      </c>
      <c r="O48" s="2">
        <v>3.6749999999999998</v>
      </c>
      <c r="P48" s="2">
        <v>3.81</v>
      </c>
      <c r="Q48" s="2">
        <v>3.5249999999999999</v>
      </c>
      <c r="R48" s="2">
        <v>4.12222222222222</v>
      </c>
      <c r="S48" s="2">
        <v>3.62222222222222</v>
      </c>
      <c r="T48" s="2">
        <v>3.8624999999999998</v>
      </c>
      <c r="U48" s="2">
        <v>3.09</v>
      </c>
      <c r="V48" s="2">
        <v>3.0874999999999999</v>
      </c>
      <c r="W48" s="2">
        <v>3.4777777777777801</v>
      </c>
      <c r="X48" s="2">
        <v>2.8666666666666698</v>
      </c>
      <c r="Y48" s="2">
        <v>3.8250000000000002</v>
      </c>
      <c r="Z48" s="2">
        <v>3.85</v>
      </c>
      <c r="AA48" s="27">
        <v>3.0750000000000002</v>
      </c>
      <c r="AB48" s="27">
        <v>4.31111111111111</v>
      </c>
      <c r="AC48" s="27">
        <v>3.5555555555555598</v>
      </c>
      <c r="AD48" s="27">
        <v>3.35</v>
      </c>
      <c r="AE48" s="27">
        <v>3.15</v>
      </c>
      <c r="AF48" s="27">
        <v>3.375</v>
      </c>
      <c r="AG48" s="27">
        <v>4.1666666666666696</v>
      </c>
      <c r="AH48" s="27">
        <v>2.8888888888888902</v>
      </c>
      <c r="AI48" s="27">
        <v>3.7124999999999999</v>
      </c>
      <c r="AJ48" s="27">
        <v>3.82</v>
      </c>
    </row>
    <row r="49" spans="1:36" x14ac:dyDescent="0.2">
      <c r="A49" s="2">
        <v>49061</v>
      </c>
      <c r="B49" s="2">
        <v>3.63</v>
      </c>
      <c r="C49" s="2">
        <v>4</v>
      </c>
      <c r="D49" s="2">
        <v>4.78</v>
      </c>
      <c r="E49" s="2">
        <v>1.75</v>
      </c>
      <c r="F49" s="2">
        <v>4.4000000000000004</v>
      </c>
      <c r="G49" s="2">
        <v>3.4874999999999998</v>
      </c>
      <c r="H49" s="2">
        <v>3.2666666666666599</v>
      </c>
      <c r="I49" s="2">
        <v>4.1111111111111098</v>
      </c>
      <c r="J49" s="2">
        <v>2.8250000000000002</v>
      </c>
      <c r="K49" s="2">
        <v>4.74</v>
      </c>
      <c r="L49" s="2">
        <v>2.8875000000000002</v>
      </c>
      <c r="M49" s="2">
        <v>3.5444444444444501</v>
      </c>
      <c r="N49" s="2">
        <v>2.5111111111111102</v>
      </c>
      <c r="O49" s="2">
        <v>3.5750000000000002</v>
      </c>
      <c r="P49" s="2">
        <v>4.41</v>
      </c>
      <c r="Q49" s="2">
        <v>3.4624999999999999</v>
      </c>
      <c r="R49" s="2">
        <v>3.06666666666667</v>
      </c>
      <c r="S49" s="2">
        <v>3.1555555555555599</v>
      </c>
      <c r="T49" s="2">
        <v>2.5125000000000002</v>
      </c>
      <c r="U49" s="2">
        <v>4.6500000000000004</v>
      </c>
      <c r="V49" s="2">
        <v>3.4874999999999998</v>
      </c>
      <c r="W49" s="2">
        <v>2.5</v>
      </c>
      <c r="X49" s="2">
        <v>3.1666666666666701</v>
      </c>
      <c r="Y49" s="2">
        <v>4.2</v>
      </c>
      <c r="Z49" s="2">
        <v>3.53</v>
      </c>
      <c r="AA49" s="27">
        <v>3.5125000000000002</v>
      </c>
      <c r="AB49" s="27">
        <v>3.2777777777777799</v>
      </c>
      <c r="AC49" s="27">
        <v>3.7888888888888901</v>
      </c>
      <c r="AD49" s="27">
        <v>2.9</v>
      </c>
      <c r="AE49" s="27">
        <v>4.79</v>
      </c>
      <c r="AF49" s="27">
        <v>3.2250000000000001</v>
      </c>
      <c r="AG49" s="27">
        <v>3.5</v>
      </c>
      <c r="AH49" s="27">
        <v>2.2111111111111099</v>
      </c>
      <c r="AI49" s="27">
        <v>3.9874999999999998</v>
      </c>
      <c r="AJ49" s="27">
        <v>4.3499999999999996</v>
      </c>
    </row>
    <row r="50" spans="1:36" x14ac:dyDescent="0.2">
      <c r="A50" s="2">
        <v>49157</v>
      </c>
      <c r="B50" s="2">
        <v>3.25</v>
      </c>
      <c r="C50" s="2">
        <v>4.22</v>
      </c>
      <c r="D50" s="2">
        <v>4.8899999999999997</v>
      </c>
      <c r="E50" s="2">
        <v>2.5</v>
      </c>
      <c r="F50" s="2">
        <v>3</v>
      </c>
      <c r="G50" s="2">
        <v>2.25</v>
      </c>
      <c r="H50" s="2">
        <v>3.5222222222222199</v>
      </c>
      <c r="I50" s="2">
        <v>3.9666666666666699</v>
      </c>
      <c r="J50" s="2">
        <v>2</v>
      </c>
      <c r="K50" s="2">
        <v>1.92</v>
      </c>
      <c r="L50" s="2">
        <v>2.3374999999999999</v>
      </c>
      <c r="M50" s="2">
        <v>3.8444444444444499</v>
      </c>
      <c r="N50" s="2">
        <v>4.8</v>
      </c>
      <c r="O50" s="2">
        <v>2</v>
      </c>
      <c r="P50" s="2">
        <v>1.9</v>
      </c>
      <c r="Q50" s="2">
        <v>3.3</v>
      </c>
      <c r="R50" s="2">
        <v>3.6</v>
      </c>
      <c r="S50" s="2">
        <v>3.3333333333333299</v>
      </c>
      <c r="T50" s="2">
        <v>1.875</v>
      </c>
      <c r="U50" s="2">
        <v>2</v>
      </c>
      <c r="V50" s="2">
        <v>3.2374999999999998</v>
      </c>
      <c r="W50" s="2">
        <v>3.4111111111111101</v>
      </c>
      <c r="X50" s="2">
        <v>2.7111111111111099</v>
      </c>
      <c r="Y50" s="2">
        <v>2.875</v>
      </c>
      <c r="Z50" s="2">
        <v>2.0499999999999998</v>
      </c>
      <c r="AA50" s="27">
        <v>2.3624999999999998</v>
      </c>
      <c r="AB50" s="27">
        <v>3.4444444444444402</v>
      </c>
      <c r="AC50" s="27">
        <v>4.12222222222222</v>
      </c>
      <c r="AD50" s="27">
        <v>2</v>
      </c>
      <c r="AE50" s="27">
        <v>1.96</v>
      </c>
      <c r="AF50" s="27">
        <v>2.7875000000000001</v>
      </c>
      <c r="AG50" s="27">
        <v>3.31111111111111</v>
      </c>
      <c r="AH50" s="27">
        <v>4.0333333333333297</v>
      </c>
      <c r="AI50" s="27">
        <v>2.35</v>
      </c>
      <c r="AJ50" s="27">
        <v>1.9</v>
      </c>
    </row>
    <row r="51" spans="1:36" x14ac:dyDescent="0.2">
      <c r="A51" s="2">
        <v>50862</v>
      </c>
      <c r="B51" s="2">
        <v>2.38</v>
      </c>
      <c r="C51" s="2">
        <v>4.4400000000000004</v>
      </c>
      <c r="D51" s="2">
        <v>4.22</v>
      </c>
      <c r="E51" s="2">
        <v>1.38</v>
      </c>
      <c r="F51" s="2">
        <v>3.7</v>
      </c>
      <c r="G51" s="2">
        <v>3.1375000000000002</v>
      </c>
      <c r="H51" s="2">
        <v>4.3444444444444397</v>
      </c>
      <c r="I51" s="2">
        <v>3.9777777777777801</v>
      </c>
      <c r="J51" s="2">
        <v>1.6875</v>
      </c>
      <c r="K51" s="2">
        <v>2.63</v>
      </c>
      <c r="L51" s="2">
        <v>3</v>
      </c>
      <c r="M51" s="2">
        <v>4.5555555555555598</v>
      </c>
      <c r="N51" s="2">
        <v>2.9777777777777801</v>
      </c>
      <c r="O51" s="2">
        <v>1.4875</v>
      </c>
      <c r="P51" s="2">
        <v>3.35</v>
      </c>
      <c r="Q51" s="2">
        <v>3.8875000000000002</v>
      </c>
      <c r="R51" s="2">
        <v>4.3444444444444397</v>
      </c>
      <c r="S51" s="2">
        <v>3.9555555555555602</v>
      </c>
      <c r="T51" s="2">
        <v>1.875</v>
      </c>
      <c r="U51" s="2">
        <v>2.83</v>
      </c>
      <c r="V51" s="2">
        <v>3.5750000000000002</v>
      </c>
      <c r="W51" s="2">
        <v>4.06666666666667</v>
      </c>
      <c r="X51" s="2">
        <v>2.8222222222222202</v>
      </c>
      <c r="Y51" s="2">
        <v>2.5249999999999999</v>
      </c>
      <c r="Z51" s="2">
        <v>2.59</v>
      </c>
      <c r="AA51" s="27">
        <v>3.7749999999999999</v>
      </c>
      <c r="AB51" s="27">
        <v>4.43333333333333</v>
      </c>
      <c r="AC51" s="27">
        <v>3.1444444444444399</v>
      </c>
      <c r="AD51" s="27">
        <v>1.875</v>
      </c>
      <c r="AE51" s="27">
        <v>2.5299999999999998</v>
      </c>
      <c r="AF51" s="27">
        <v>3.5125000000000002</v>
      </c>
      <c r="AG51" s="27">
        <v>4.5777777777777802</v>
      </c>
      <c r="AH51" s="27">
        <v>2.3666666666666698</v>
      </c>
      <c r="AI51" s="27">
        <v>1.875</v>
      </c>
      <c r="AJ51" s="27">
        <v>3.03</v>
      </c>
    </row>
    <row r="52" spans="1:36" x14ac:dyDescent="0.2">
      <c r="A52" s="2">
        <v>53025</v>
      </c>
      <c r="B52" s="2">
        <v>1.88</v>
      </c>
      <c r="C52" s="2">
        <v>2.89</v>
      </c>
      <c r="D52" s="2">
        <v>2.67</v>
      </c>
      <c r="E52" s="2">
        <v>3.5</v>
      </c>
      <c r="F52" s="2">
        <v>2.6</v>
      </c>
      <c r="G52" s="2">
        <v>2.6625000000000001</v>
      </c>
      <c r="H52" s="2">
        <v>4.56666666666667</v>
      </c>
      <c r="I52" s="2">
        <v>3</v>
      </c>
      <c r="J52" s="2">
        <v>2.4750000000000001</v>
      </c>
      <c r="K52" s="2">
        <v>2.1800000000000002</v>
      </c>
      <c r="L52" s="2">
        <v>2.6749999999999998</v>
      </c>
      <c r="M52" s="2">
        <v>3.94444444444445</v>
      </c>
      <c r="N52" s="2">
        <v>3.0444444444444398</v>
      </c>
      <c r="O52" s="2">
        <v>3.5874999999999999</v>
      </c>
      <c r="P52" s="2">
        <v>2.74</v>
      </c>
      <c r="Q52" s="2">
        <v>2.5625</v>
      </c>
      <c r="R52" s="2">
        <v>4.3</v>
      </c>
      <c r="S52" s="2">
        <v>3.0333333333333301</v>
      </c>
      <c r="T52" s="2">
        <v>3.0249999999999999</v>
      </c>
      <c r="U52" s="2">
        <v>2.14</v>
      </c>
      <c r="V52" s="2">
        <v>3.8875000000000002</v>
      </c>
      <c r="W52" s="2">
        <v>3.7444444444444498</v>
      </c>
      <c r="X52" s="2">
        <v>3.0777777777777802</v>
      </c>
      <c r="Y52" s="2">
        <v>3.0249999999999999</v>
      </c>
      <c r="Z52" s="2">
        <v>2.57</v>
      </c>
      <c r="AA52" s="27">
        <v>2.9874999999999998</v>
      </c>
      <c r="AB52" s="27">
        <v>4.7111111111111104</v>
      </c>
      <c r="AC52" s="27">
        <v>3.1</v>
      </c>
      <c r="AD52" s="27">
        <v>2.0499999999999998</v>
      </c>
      <c r="AE52" s="27">
        <v>2.19</v>
      </c>
      <c r="AF52" s="27">
        <v>3</v>
      </c>
      <c r="AG52" s="27">
        <v>3.9</v>
      </c>
      <c r="AH52" s="27">
        <v>2.8</v>
      </c>
      <c r="AI52" s="27">
        <v>3.625</v>
      </c>
      <c r="AJ52" s="27">
        <v>2.72</v>
      </c>
    </row>
    <row r="53" spans="1:36" x14ac:dyDescent="0.2">
      <c r="A53" s="2">
        <v>53958</v>
      </c>
      <c r="B53" s="2">
        <v>3.38</v>
      </c>
      <c r="C53" s="2">
        <v>3.78</v>
      </c>
      <c r="D53" s="2">
        <v>4.1100000000000003</v>
      </c>
      <c r="E53" s="2">
        <v>2.25</v>
      </c>
      <c r="F53" s="2">
        <v>4.0999999999999996</v>
      </c>
      <c r="G53" s="2">
        <v>3.8250000000000002</v>
      </c>
      <c r="H53" s="2">
        <v>3.5777777777777802</v>
      </c>
      <c r="I53" s="2">
        <v>2.5888888888888899</v>
      </c>
      <c r="J53" s="2">
        <v>1.7375</v>
      </c>
      <c r="K53" s="2">
        <v>4.1100000000000003</v>
      </c>
      <c r="L53" s="2">
        <v>3.6749999999999998</v>
      </c>
      <c r="M53" s="2">
        <v>2.6555555555555599</v>
      </c>
      <c r="N53" s="2">
        <v>3.93333333333333</v>
      </c>
      <c r="O53" s="2">
        <v>1.1499999999999999</v>
      </c>
      <c r="P53" s="2">
        <v>3.09</v>
      </c>
      <c r="Q53" s="2">
        <v>3.6</v>
      </c>
      <c r="R53" s="2">
        <v>3.5555555555555598</v>
      </c>
      <c r="S53" s="2">
        <v>2.6777777777777798</v>
      </c>
      <c r="T53" s="2">
        <v>3.1625000000000001</v>
      </c>
      <c r="U53" s="2">
        <v>4.49</v>
      </c>
      <c r="V53" s="2">
        <v>3.9</v>
      </c>
      <c r="W53" s="2">
        <v>3.4888888888888898</v>
      </c>
      <c r="X53" s="2">
        <v>2.1444444444444399</v>
      </c>
      <c r="Y53" s="2">
        <v>3.45</v>
      </c>
      <c r="Z53" s="2">
        <v>3.29</v>
      </c>
      <c r="AA53" s="27">
        <v>4.625</v>
      </c>
      <c r="AB53" s="27">
        <v>3.6444444444444501</v>
      </c>
      <c r="AC53" s="27">
        <v>2.2222222222222201</v>
      </c>
      <c r="AD53" s="27">
        <v>1.6125</v>
      </c>
      <c r="AE53" s="27">
        <v>4.5</v>
      </c>
      <c r="AF53" s="27">
        <v>4.4249999999999998</v>
      </c>
      <c r="AG53" s="27">
        <v>2.5</v>
      </c>
      <c r="AH53" s="27">
        <v>2.87777777777778</v>
      </c>
      <c r="AI53" s="27">
        <v>1.2625</v>
      </c>
      <c r="AJ53" s="27">
        <v>3.08</v>
      </c>
    </row>
    <row r="54" spans="1:36" x14ac:dyDescent="0.2">
      <c r="A54" s="2">
        <v>54165</v>
      </c>
      <c r="B54" s="2">
        <v>4</v>
      </c>
      <c r="C54" s="2">
        <v>3.44</v>
      </c>
      <c r="D54" s="2">
        <v>2.11</v>
      </c>
      <c r="E54" s="2">
        <v>4.75</v>
      </c>
      <c r="F54" s="2">
        <v>3</v>
      </c>
      <c r="G54" s="2">
        <v>1.75</v>
      </c>
      <c r="H54" s="2">
        <v>3.8333333333333299</v>
      </c>
      <c r="I54" s="2">
        <v>3.2333333333333298</v>
      </c>
      <c r="J54" s="2">
        <v>4.4249999999999998</v>
      </c>
      <c r="K54" s="2">
        <v>2.6</v>
      </c>
      <c r="L54" s="2">
        <v>2.75</v>
      </c>
      <c r="M54" s="2">
        <v>3.8444444444444499</v>
      </c>
      <c r="N54" s="2">
        <v>3.2111111111111099</v>
      </c>
      <c r="O54" s="2">
        <v>3.9874999999999998</v>
      </c>
      <c r="P54" s="2">
        <v>3.26</v>
      </c>
      <c r="Q54" s="2">
        <v>2.6</v>
      </c>
      <c r="R54" s="2">
        <v>2.9777777777777801</v>
      </c>
      <c r="S54" s="2">
        <v>3.2222222222222201</v>
      </c>
      <c r="T54" s="2">
        <v>4.4000000000000004</v>
      </c>
      <c r="U54" s="2">
        <v>1.95</v>
      </c>
      <c r="V54" s="2">
        <v>3.4125000000000001</v>
      </c>
      <c r="W54" s="2">
        <v>3.1333333333333302</v>
      </c>
      <c r="X54" s="2">
        <v>3.1333333333333302</v>
      </c>
      <c r="Y54" s="2">
        <v>4.0625</v>
      </c>
      <c r="Z54" s="2">
        <v>2.91</v>
      </c>
      <c r="AA54" s="27">
        <v>2.125</v>
      </c>
      <c r="AB54" s="27">
        <v>4.12222222222222</v>
      </c>
      <c r="AC54" s="27">
        <v>3.06666666666667</v>
      </c>
      <c r="AD54" s="27">
        <v>4.2750000000000004</v>
      </c>
      <c r="AE54" s="27">
        <v>2.84</v>
      </c>
      <c r="AF54" s="27">
        <v>3.1625000000000001</v>
      </c>
      <c r="AG54" s="27">
        <v>3.5555555555555598</v>
      </c>
      <c r="AH54" s="27">
        <v>3.1</v>
      </c>
      <c r="AI54" s="27">
        <v>4.3499999999999996</v>
      </c>
      <c r="AJ54" s="27">
        <v>3.21</v>
      </c>
    </row>
    <row r="55" spans="1:36" x14ac:dyDescent="0.2">
      <c r="A55" s="2">
        <v>54409</v>
      </c>
      <c r="B55" s="2">
        <v>3.75</v>
      </c>
      <c r="C55" s="2">
        <v>4.67</v>
      </c>
      <c r="D55" s="2">
        <v>4.5599999999999996</v>
      </c>
      <c r="E55" s="2">
        <v>2.25</v>
      </c>
      <c r="F55" s="2">
        <v>4.2</v>
      </c>
      <c r="G55" s="2">
        <v>3.5750000000000002</v>
      </c>
      <c r="H55" s="2">
        <v>4.3444444444444397</v>
      </c>
      <c r="I55" s="2">
        <v>2.1777777777777798</v>
      </c>
      <c r="J55" s="2">
        <v>1.625</v>
      </c>
      <c r="K55" s="2">
        <v>3.72</v>
      </c>
      <c r="L55" s="2">
        <v>4.875</v>
      </c>
      <c r="M55" s="2">
        <v>3.68888888888889</v>
      </c>
      <c r="N55" s="2">
        <v>1.6</v>
      </c>
      <c r="O55" s="2">
        <v>1.125</v>
      </c>
      <c r="P55" s="2">
        <v>3.9</v>
      </c>
      <c r="Q55" s="2">
        <v>4.3875000000000002</v>
      </c>
      <c r="R55" s="2">
        <v>2.8555555555555601</v>
      </c>
      <c r="S55" s="2">
        <v>2</v>
      </c>
      <c r="T55" s="2">
        <v>2.2875000000000001</v>
      </c>
      <c r="U55" s="2">
        <v>4.07</v>
      </c>
      <c r="V55" s="2">
        <v>4.7374999999999998</v>
      </c>
      <c r="W55" s="2">
        <v>3.18888888888889</v>
      </c>
      <c r="X55" s="2">
        <v>1.82222222222222</v>
      </c>
      <c r="Y55" s="2">
        <v>1.9750000000000001</v>
      </c>
      <c r="Z55" s="2">
        <v>3.32</v>
      </c>
      <c r="AA55" s="27">
        <v>4.5374999999999996</v>
      </c>
      <c r="AB55" s="27">
        <v>4.0888888888888903</v>
      </c>
      <c r="AC55" s="27">
        <v>1.8888888888888899</v>
      </c>
      <c r="AD55" s="27">
        <v>1.8374999999999999</v>
      </c>
      <c r="AE55" s="27">
        <v>3.79</v>
      </c>
      <c r="AF55" s="27">
        <v>4.875</v>
      </c>
      <c r="AG55" s="27">
        <v>3.2888888888888901</v>
      </c>
      <c r="AH55" s="27">
        <v>1.31111111111111</v>
      </c>
      <c r="AI55" s="27">
        <v>1.3125</v>
      </c>
      <c r="AJ55" s="27">
        <v>3.7</v>
      </c>
    </row>
    <row r="56" spans="1:36" x14ac:dyDescent="0.2">
      <c r="A56" s="2">
        <v>54761</v>
      </c>
      <c r="B56" s="2">
        <v>3.63</v>
      </c>
      <c r="C56" s="2">
        <v>3.67</v>
      </c>
      <c r="D56" s="2">
        <v>3.33</v>
      </c>
      <c r="E56" s="2">
        <v>2.88</v>
      </c>
      <c r="F56" s="2">
        <v>3.8</v>
      </c>
      <c r="G56" s="2">
        <v>3.1625000000000001</v>
      </c>
      <c r="H56" s="2">
        <v>4.24444444444444</v>
      </c>
      <c r="I56" s="2">
        <v>3.0111111111111102</v>
      </c>
      <c r="J56" s="2">
        <v>1.8</v>
      </c>
      <c r="K56" s="2">
        <v>4.2300000000000004</v>
      </c>
      <c r="L56" s="2">
        <v>3.1749999999999998</v>
      </c>
      <c r="M56" s="2">
        <v>4.2777777777777803</v>
      </c>
      <c r="N56" s="2">
        <v>3.6777777777777798</v>
      </c>
      <c r="O56" s="2">
        <v>2.0375000000000001</v>
      </c>
      <c r="P56" s="2">
        <v>3.58</v>
      </c>
      <c r="Q56" s="2">
        <v>3.8</v>
      </c>
      <c r="R56" s="2">
        <v>4.12222222222222</v>
      </c>
      <c r="S56" s="2">
        <v>2.9222222222222198</v>
      </c>
      <c r="T56" s="2">
        <v>1.875</v>
      </c>
      <c r="U56" s="2">
        <v>4.12</v>
      </c>
      <c r="V56" s="2">
        <v>3.2749999999999999</v>
      </c>
      <c r="W56" s="2">
        <v>4</v>
      </c>
      <c r="X56" s="2">
        <v>3.1666666666666701</v>
      </c>
      <c r="Y56" s="2">
        <v>1.9125000000000001</v>
      </c>
      <c r="Z56" s="2">
        <v>3.86</v>
      </c>
      <c r="AA56" s="27">
        <v>3.6749999999999998</v>
      </c>
      <c r="AB56" s="27">
        <v>4.2888888888888896</v>
      </c>
      <c r="AC56" s="27">
        <v>2.2888888888888901</v>
      </c>
      <c r="AD56" s="27">
        <v>1.8875</v>
      </c>
      <c r="AE56" s="27">
        <v>4.07</v>
      </c>
      <c r="AF56" s="27">
        <v>3.4750000000000001</v>
      </c>
      <c r="AG56" s="27">
        <v>4.1666666666666696</v>
      </c>
      <c r="AH56" s="27">
        <v>2.87777777777778</v>
      </c>
      <c r="AI56" s="27">
        <v>1.8875</v>
      </c>
      <c r="AJ56" s="27">
        <v>3.24</v>
      </c>
    </row>
    <row r="57" spans="1:36" x14ac:dyDescent="0.2">
      <c r="A57" s="2">
        <v>55599</v>
      </c>
      <c r="B57" s="2">
        <v>3.38</v>
      </c>
      <c r="C57" s="2">
        <v>4.22</v>
      </c>
      <c r="D57" s="2">
        <v>3.56</v>
      </c>
      <c r="E57" s="2">
        <v>1</v>
      </c>
      <c r="F57" s="2">
        <v>4.7</v>
      </c>
      <c r="G57" s="2">
        <v>2.8374999999999999</v>
      </c>
      <c r="H57" s="2">
        <v>4.4444444444444402</v>
      </c>
      <c r="I57" s="2">
        <v>2.94444444444445</v>
      </c>
      <c r="J57" s="2">
        <v>1.825</v>
      </c>
      <c r="K57" s="2">
        <v>2.57</v>
      </c>
      <c r="L57" s="2">
        <v>3.5125000000000002</v>
      </c>
      <c r="M57" s="2">
        <v>4.2111111111111104</v>
      </c>
      <c r="N57" s="2">
        <v>3.8444444444444401</v>
      </c>
      <c r="O57" s="2">
        <v>1.7875000000000001</v>
      </c>
      <c r="P57" s="2">
        <v>3.65</v>
      </c>
      <c r="Q57" s="2">
        <v>4</v>
      </c>
      <c r="R57" s="2">
        <v>4.4222222222222198</v>
      </c>
      <c r="S57" s="2">
        <v>3.2222222222222201</v>
      </c>
      <c r="T57" s="2">
        <v>1.925</v>
      </c>
      <c r="U57" s="2">
        <v>3</v>
      </c>
      <c r="V57" s="2">
        <v>3.4624999999999999</v>
      </c>
      <c r="W57" s="2">
        <v>3.6</v>
      </c>
      <c r="X57" s="2">
        <v>3.1111111111111098</v>
      </c>
      <c r="Y57" s="2">
        <v>3.0125000000000002</v>
      </c>
      <c r="Z57" s="2">
        <v>3.07</v>
      </c>
      <c r="AA57" s="27">
        <v>2.9249999999999998</v>
      </c>
      <c r="AB57" s="27">
        <v>4.4666666666666597</v>
      </c>
      <c r="AC57" s="27">
        <v>2.4222222222222198</v>
      </c>
      <c r="AD57" s="27">
        <v>1.875</v>
      </c>
      <c r="AE57" s="27">
        <v>2.35</v>
      </c>
      <c r="AF57" s="27">
        <v>3.6875</v>
      </c>
      <c r="AG57" s="27">
        <v>3.8</v>
      </c>
      <c r="AH57" s="27">
        <v>3.3444444444444401</v>
      </c>
      <c r="AI57" s="27">
        <v>2.9125000000000001</v>
      </c>
      <c r="AJ57" s="27">
        <v>3.49</v>
      </c>
    </row>
    <row r="58" spans="1:36" x14ac:dyDescent="0.2">
      <c r="A58" s="2">
        <v>59088</v>
      </c>
      <c r="B58" s="2">
        <v>4</v>
      </c>
      <c r="C58" s="2">
        <v>4.22</v>
      </c>
      <c r="D58" s="2">
        <v>3.44</v>
      </c>
      <c r="E58" s="2">
        <v>3.5</v>
      </c>
      <c r="F58" s="2">
        <v>3.8</v>
      </c>
      <c r="G58" s="2">
        <v>3.0750000000000002</v>
      </c>
      <c r="H58" s="2">
        <v>4.2777777777777803</v>
      </c>
      <c r="I58" s="2">
        <v>3.8222222222222202</v>
      </c>
      <c r="J58" s="2">
        <v>2.0874999999999999</v>
      </c>
      <c r="K58" s="2">
        <v>3.16</v>
      </c>
      <c r="L58" s="2">
        <v>3.5</v>
      </c>
      <c r="M58" s="2">
        <v>4.1555555555555497</v>
      </c>
      <c r="N58" s="2">
        <v>3.5</v>
      </c>
      <c r="O58" s="2">
        <v>1.875</v>
      </c>
      <c r="P58" s="2">
        <v>2.61</v>
      </c>
      <c r="Q58" s="2">
        <v>3.6124999999999998</v>
      </c>
      <c r="R58" s="2">
        <v>3.4222222222222198</v>
      </c>
      <c r="S58" s="2">
        <v>2.4222222222222198</v>
      </c>
      <c r="T58" s="2">
        <v>3.625</v>
      </c>
      <c r="U58" s="2">
        <v>3.57</v>
      </c>
      <c r="V58" s="2">
        <v>3.2124999999999999</v>
      </c>
      <c r="W58" s="2">
        <v>4.0888888888888903</v>
      </c>
      <c r="X58" s="2">
        <v>2.7</v>
      </c>
      <c r="Y58" s="2">
        <v>3.85</v>
      </c>
      <c r="Z58" s="2">
        <v>2.16</v>
      </c>
      <c r="AA58" s="27">
        <v>3.5375000000000001</v>
      </c>
      <c r="AB58" s="27">
        <v>4.36666666666666</v>
      </c>
      <c r="AC58" s="27">
        <v>3.68888888888889</v>
      </c>
      <c r="AD58" s="27">
        <v>2.0125000000000002</v>
      </c>
      <c r="AE58" s="27">
        <v>3.2</v>
      </c>
      <c r="AF58" s="27">
        <v>3.7875000000000001</v>
      </c>
      <c r="AG58" s="27">
        <v>4.1444444444444404</v>
      </c>
      <c r="AH58" s="27">
        <v>3.0222222222222199</v>
      </c>
      <c r="AI58" s="27">
        <v>1.85</v>
      </c>
      <c r="AJ58" s="27">
        <v>2.54</v>
      </c>
    </row>
    <row r="59" spans="1:36" x14ac:dyDescent="0.2">
      <c r="A59" s="2">
        <v>59741</v>
      </c>
      <c r="B59" s="2">
        <v>2.88</v>
      </c>
      <c r="C59" s="2">
        <v>4</v>
      </c>
      <c r="D59" s="2">
        <v>3.44</v>
      </c>
      <c r="E59" s="2">
        <v>3.13</v>
      </c>
      <c r="F59" s="2">
        <v>3.9</v>
      </c>
      <c r="G59" s="2">
        <v>2.5375000000000001</v>
      </c>
      <c r="H59" s="2">
        <v>2.6</v>
      </c>
      <c r="I59" s="2">
        <v>2.1555555555555501</v>
      </c>
      <c r="J59" s="2">
        <v>2</v>
      </c>
      <c r="K59" s="2">
        <v>4.21</v>
      </c>
      <c r="L59" s="2">
        <v>2.4125000000000001</v>
      </c>
      <c r="M59" s="2">
        <v>3.12222222222222</v>
      </c>
      <c r="N59" s="2">
        <v>2.5888888888888899</v>
      </c>
      <c r="O59" s="2">
        <v>1.25</v>
      </c>
      <c r="P59" s="2">
        <v>3.85</v>
      </c>
      <c r="Q59" s="2">
        <v>3.7124999999999999</v>
      </c>
      <c r="R59" s="2">
        <v>2.1666666666666701</v>
      </c>
      <c r="S59" s="2">
        <v>1.9111111111111101</v>
      </c>
      <c r="T59" s="2">
        <v>2.6375000000000002</v>
      </c>
      <c r="U59" s="2">
        <v>3.14</v>
      </c>
      <c r="V59" s="2">
        <v>3.4750000000000001</v>
      </c>
      <c r="W59" s="2">
        <v>3.6555555555555599</v>
      </c>
      <c r="X59" s="2">
        <v>2.3444444444444401</v>
      </c>
      <c r="Y59" s="2">
        <v>2.85</v>
      </c>
      <c r="Z59" s="2">
        <v>3.62</v>
      </c>
      <c r="AA59" s="27">
        <v>2.3624999999999998</v>
      </c>
      <c r="AB59" s="27">
        <v>2.2888888888888901</v>
      </c>
      <c r="AC59" s="27">
        <v>1.75555555555556</v>
      </c>
      <c r="AD59" s="27">
        <v>2.3374999999999999</v>
      </c>
      <c r="AE59" s="27">
        <v>3.91</v>
      </c>
      <c r="AF59" s="27">
        <v>3.7374999999999998</v>
      </c>
      <c r="AG59" s="27">
        <v>3.2666666666666599</v>
      </c>
      <c r="AH59" s="27">
        <v>2.9777777777777801</v>
      </c>
      <c r="AI59" s="27">
        <v>1.8875</v>
      </c>
      <c r="AJ59" s="27">
        <v>4.1500000000000004</v>
      </c>
    </row>
    <row r="60" spans="1:36" x14ac:dyDescent="0.2">
      <c r="A60" s="2">
        <v>61444</v>
      </c>
      <c r="B60" s="2">
        <v>1.75</v>
      </c>
      <c r="C60" s="2">
        <v>4.33</v>
      </c>
      <c r="D60" s="2">
        <v>3.56</v>
      </c>
      <c r="E60" s="2">
        <v>3.13</v>
      </c>
      <c r="F60" s="2">
        <v>3.7</v>
      </c>
      <c r="G60" s="2">
        <v>2.2124999999999999</v>
      </c>
      <c r="H60" s="2">
        <v>4.4222222222222198</v>
      </c>
      <c r="I60" s="2">
        <v>3.1555555555555501</v>
      </c>
      <c r="J60" s="2">
        <v>1.7124999999999999</v>
      </c>
      <c r="K60" s="2">
        <v>2.86</v>
      </c>
      <c r="L60" s="2">
        <v>4</v>
      </c>
      <c r="M60" s="2">
        <v>4.4444444444444402</v>
      </c>
      <c r="N60" s="2">
        <v>3.9</v>
      </c>
      <c r="O60" s="2">
        <v>1.1000000000000001</v>
      </c>
      <c r="P60" s="2">
        <v>3.07</v>
      </c>
      <c r="Q60" s="2">
        <v>3.05</v>
      </c>
      <c r="R60" s="2">
        <v>4.1555555555555497</v>
      </c>
      <c r="S60" s="2">
        <v>3.3888888888888902</v>
      </c>
      <c r="T60" s="2">
        <v>2.6875</v>
      </c>
      <c r="U60" s="2">
        <v>3.29</v>
      </c>
      <c r="V60" s="2">
        <v>4.7</v>
      </c>
      <c r="W60" s="2">
        <v>4.2</v>
      </c>
      <c r="X60" s="2">
        <v>2.1444444444444399</v>
      </c>
      <c r="Y60" s="2">
        <v>1.6125</v>
      </c>
      <c r="Z60" s="2">
        <v>2.98</v>
      </c>
      <c r="AA60" s="27">
        <v>3</v>
      </c>
      <c r="AB60" s="27">
        <v>4.4555555555555504</v>
      </c>
      <c r="AC60" s="27">
        <v>2.9555555555555602</v>
      </c>
      <c r="AD60" s="27">
        <v>1.875</v>
      </c>
      <c r="AE60" s="27">
        <v>3.07</v>
      </c>
      <c r="AF60" s="27">
        <v>4.8499999999999996</v>
      </c>
      <c r="AG60" s="27">
        <v>4.3666666666666698</v>
      </c>
      <c r="AH60" s="27">
        <v>2.8222222222222202</v>
      </c>
      <c r="AI60" s="27">
        <v>1.0625</v>
      </c>
      <c r="AJ60" s="27">
        <v>2.97</v>
      </c>
    </row>
    <row r="61" spans="1:36" x14ac:dyDescent="0.2">
      <c r="A61" s="2">
        <v>62828</v>
      </c>
      <c r="B61" s="2">
        <v>4.25</v>
      </c>
      <c r="C61" s="2">
        <v>4.4400000000000004</v>
      </c>
      <c r="D61" s="2">
        <v>5</v>
      </c>
      <c r="E61" s="2">
        <v>1.25</v>
      </c>
      <c r="F61" s="2">
        <v>4</v>
      </c>
      <c r="G61" s="2">
        <v>3.3624999999999998</v>
      </c>
      <c r="H61" s="2">
        <v>4.1555555555555497</v>
      </c>
      <c r="I61" s="2">
        <v>4.56666666666667</v>
      </c>
      <c r="J61" s="2">
        <v>1.7625</v>
      </c>
      <c r="K61" s="2">
        <v>2.65</v>
      </c>
      <c r="L61" s="2">
        <v>3.7250000000000001</v>
      </c>
      <c r="M61" s="2">
        <v>4.87777777777778</v>
      </c>
      <c r="N61" s="2">
        <v>3.5111111111111102</v>
      </c>
      <c r="O61" s="2">
        <v>1.5125</v>
      </c>
      <c r="P61" s="2">
        <v>2.82</v>
      </c>
      <c r="Q61" s="2">
        <v>4.3125</v>
      </c>
      <c r="R61" s="2">
        <v>4.3777777777777702</v>
      </c>
      <c r="S61" s="2">
        <v>2.9888888888888898</v>
      </c>
      <c r="T61" s="2">
        <v>1.9624999999999999</v>
      </c>
      <c r="U61" s="2">
        <v>2.93</v>
      </c>
      <c r="V61" s="2">
        <v>3.1124999999999998</v>
      </c>
      <c r="W61" s="2">
        <v>3.2666666666666599</v>
      </c>
      <c r="X61" s="2">
        <v>2.2111111111111099</v>
      </c>
      <c r="Y61" s="2">
        <v>4.4000000000000004</v>
      </c>
      <c r="Z61" s="2">
        <v>3.56</v>
      </c>
      <c r="AA61" s="27">
        <v>4.1124999999999998</v>
      </c>
      <c r="AB61" s="27">
        <v>4.4222222222222198</v>
      </c>
      <c r="AC61" s="27">
        <v>3.6111111111111098</v>
      </c>
      <c r="AD61" s="27">
        <v>1.85</v>
      </c>
      <c r="AE61" s="27">
        <v>3.06</v>
      </c>
      <c r="AF61" s="27">
        <v>4.2374999999999998</v>
      </c>
      <c r="AG61" s="27">
        <v>4.87777777777778</v>
      </c>
      <c r="AH61" s="27">
        <v>2.3888888888888902</v>
      </c>
      <c r="AI61" s="27">
        <v>1.625</v>
      </c>
      <c r="AJ61" s="27">
        <v>2.79</v>
      </c>
    </row>
    <row r="62" spans="1:36" x14ac:dyDescent="0.2">
      <c r="A62" s="2">
        <v>63092</v>
      </c>
      <c r="B62" s="2">
        <v>3.38</v>
      </c>
      <c r="C62" s="2">
        <v>4.4400000000000004</v>
      </c>
      <c r="D62" s="2">
        <v>4</v>
      </c>
      <c r="E62" s="2">
        <v>2.13</v>
      </c>
      <c r="F62" s="2">
        <v>3.8</v>
      </c>
      <c r="G62" s="2">
        <v>3.65</v>
      </c>
      <c r="H62" s="2">
        <v>4.24444444444444</v>
      </c>
      <c r="I62" s="2">
        <v>3.2222222222222201</v>
      </c>
      <c r="J62" s="2">
        <v>2.8</v>
      </c>
      <c r="K62" s="2">
        <v>2.35</v>
      </c>
      <c r="L62" s="2">
        <v>2.625</v>
      </c>
      <c r="M62" s="2">
        <v>4.31111111111111</v>
      </c>
      <c r="N62" s="2">
        <v>3.4</v>
      </c>
      <c r="O62" s="2">
        <v>2.4874999999999998</v>
      </c>
      <c r="P62" s="2">
        <v>1.93</v>
      </c>
      <c r="Q62" s="2">
        <v>4.05</v>
      </c>
      <c r="R62" s="2">
        <v>4.6666666666666696</v>
      </c>
      <c r="S62" s="2">
        <v>3.7777777777777799</v>
      </c>
      <c r="T62" s="2">
        <v>3.0750000000000002</v>
      </c>
      <c r="U62" s="2">
        <v>2.54</v>
      </c>
      <c r="V62" s="2">
        <v>3.3</v>
      </c>
      <c r="W62" s="2">
        <v>3.56666666666667</v>
      </c>
      <c r="X62" s="2">
        <v>3.18888888888889</v>
      </c>
      <c r="Y62" s="2">
        <v>3.9125000000000001</v>
      </c>
      <c r="Z62" s="2">
        <v>1.97</v>
      </c>
      <c r="AA62" s="27">
        <v>4.4375</v>
      </c>
      <c r="AB62" s="27">
        <v>4.5</v>
      </c>
      <c r="AC62" s="27">
        <v>2.62222222222222</v>
      </c>
      <c r="AD62" s="27">
        <v>3.0125000000000002</v>
      </c>
      <c r="AE62" s="27">
        <v>2.39</v>
      </c>
      <c r="AF62" s="27">
        <v>3.55</v>
      </c>
      <c r="AG62" s="27">
        <v>4.4666666666666703</v>
      </c>
      <c r="AH62" s="27">
        <v>2.7222222222222201</v>
      </c>
      <c r="AI62" s="27">
        <v>3.1625000000000001</v>
      </c>
      <c r="AJ62" s="27">
        <v>1.95</v>
      </c>
    </row>
    <row r="63" spans="1:36" x14ac:dyDescent="0.2">
      <c r="A63" s="2">
        <v>63396</v>
      </c>
      <c r="B63" s="2">
        <v>4.38</v>
      </c>
      <c r="C63" s="2">
        <v>4</v>
      </c>
      <c r="D63" s="2">
        <v>3.89</v>
      </c>
      <c r="E63" s="2">
        <v>1.75</v>
      </c>
      <c r="F63" s="2">
        <v>3.7</v>
      </c>
      <c r="G63" s="2">
        <v>4.9625000000000004</v>
      </c>
      <c r="H63" s="2">
        <v>2.1444444444444399</v>
      </c>
      <c r="I63" s="2">
        <v>2.0888888888888899</v>
      </c>
      <c r="J63" s="2">
        <v>3.2250000000000001</v>
      </c>
      <c r="K63" s="2">
        <v>3.49</v>
      </c>
      <c r="L63" s="2">
        <v>4.875</v>
      </c>
      <c r="M63" s="2">
        <v>2.87777777777778</v>
      </c>
      <c r="N63" s="2">
        <v>2.12222222222222</v>
      </c>
      <c r="O63" s="2">
        <v>1.375</v>
      </c>
      <c r="P63" s="2">
        <v>3.41</v>
      </c>
      <c r="Q63" s="2">
        <v>4.3499999999999996</v>
      </c>
      <c r="R63" s="2">
        <v>1.9222222222222201</v>
      </c>
      <c r="S63" s="2">
        <v>2.0333333333333301</v>
      </c>
      <c r="T63" s="2">
        <v>2.9624999999999999</v>
      </c>
      <c r="U63" s="2">
        <v>2.62</v>
      </c>
      <c r="V63" s="2">
        <v>4.5999999999999996</v>
      </c>
      <c r="W63" s="2">
        <v>2.0777777777777802</v>
      </c>
      <c r="X63" s="2">
        <v>2</v>
      </c>
      <c r="Y63" s="2">
        <v>2.7875000000000001</v>
      </c>
      <c r="Z63" s="2">
        <v>3.1</v>
      </c>
      <c r="AA63" s="27">
        <v>4.95</v>
      </c>
      <c r="AB63" s="27">
        <v>2.2333333333333298</v>
      </c>
      <c r="AC63" s="27">
        <v>1.9555555555555599</v>
      </c>
      <c r="AD63" s="27">
        <v>2.95</v>
      </c>
      <c r="AE63" s="27">
        <v>3.12</v>
      </c>
      <c r="AF63" s="27">
        <v>4.8499999999999996</v>
      </c>
      <c r="AG63" s="27">
        <v>2.93333333333333</v>
      </c>
      <c r="AH63" s="27">
        <v>1.9111111111111101</v>
      </c>
      <c r="AI63" s="27">
        <v>1.875</v>
      </c>
      <c r="AJ63" s="27">
        <v>3.28</v>
      </c>
    </row>
    <row r="64" spans="1:36" x14ac:dyDescent="0.2">
      <c r="A64" s="2">
        <v>63854</v>
      </c>
      <c r="B64" s="2">
        <v>3.88</v>
      </c>
      <c r="C64" s="2">
        <v>3</v>
      </c>
      <c r="D64" s="2">
        <v>2.78</v>
      </c>
      <c r="E64" s="2">
        <v>3.5</v>
      </c>
      <c r="F64" s="2">
        <v>3.9</v>
      </c>
      <c r="G64" s="2">
        <v>3.6375000000000002</v>
      </c>
      <c r="H64" s="2">
        <v>4.3222222222222202</v>
      </c>
      <c r="I64" s="2">
        <v>3.2666666666666702</v>
      </c>
      <c r="J64" s="2">
        <v>1.95</v>
      </c>
      <c r="K64" s="2">
        <v>3.74</v>
      </c>
      <c r="L64" s="2">
        <v>2.9624999999999999</v>
      </c>
      <c r="M64" s="2">
        <v>3.0222222222222199</v>
      </c>
      <c r="N64" s="2">
        <v>3</v>
      </c>
      <c r="O64" s="2">
        <v>2.2625000000000002</v>
      </c>
      <c r="P64" s="2">
        <v>2.15</v>
      </c>
      <c r="Q64" s="2">
        <v>3.9249999999999998</v>
      </c>
      <c r="R64" s="2">
        <v>3.8444444444444499</v>
      </c>
      <c r="S64" s="2">
        <v>3.1</v>
      </c>
      <c r="T64" s="2">
        <v>2.875</v>
      </c>
      <c r="U64" s="2">
        <v>3.68</v>
      </c>
      <c r="V64" s="2">
        <v>3.5375000000000001</v>
      </c>
      <c r="W64" s="2">
        <v>3.1666666666666701</v>
      </c>
      <c r="X64" s="2">
        <v>2.4111111111111101</v>
      </c>
      <c r="Y64" s="2">
        <v>2.9624999999999999</v>
      </c>
      <c r="Z64" s="2">
        <v>2.1</v>
      </c>
      <c r="AA64" s="27">
        <v>3.7</v>
      </c>
      <c r="AB64" s="27">
        <v>4.3222222222222202</v>
      </c>
      <c r="AC64" s="27">
        <v>3.1111111111111098</v>
      </c>
      <c r="AD64" s="27">
        <v>2.0125000000000002</v>
      </c>
      <c r="AE64" s="27">
        <v>3.66</v>
      </c>
      <c r="AF64" s="27">
        <v>3.2625000000000002</v>
      </c>
      <c r="AG64" s="27">
        <v>3.0444444444444398</v>
      </c>
      <c r="AH64" s="27">
        <v>2.9777777777777801</v>
      </c>
      <c r="AI64" s="27">
        <v>2.9125000000000001</v>
      </c>
      <c r="AJ64" s="27">
        <v>2.5099999999999998</v>
      </c>
    </row>
    <row r="65" spans="1:36" x14ac:dyDescent="0.2">
      <c r="A65" s="2">
        <v>65180</v>
      </c>
      <c r="B65" s="2">
        <v>2.75</v>
      </c>
      <c r="C65" s="2">
        <v>3.89</v>
      </c>
      <c r="D65" s="2">
        <v>4.78</v>
      </c>
      <c r="E65" s="2">
        <v>2.5</v>
      </c>
      <c r="F65" s="2">
        <v>3.9</v>
      </c>
      <c r="G65" s="2">
        <v>2.25</v>
      </c>
      <c r="H65" s="2">
        <v>2.1666666666666599</v>
      </c>
      <c r="I65" s="2">
        <v>2.5222222222222199</v>
      </c>
      <c r="J65" s="2">
        <v>2.6749999999999998</v>
      </c>
      <c r="K65" s="2">
        <v>1.99</v>
      </c>
      <c r="L65" s="2">
        <v>2.5125000000000002</v>
      </c>
      <c r="M65" s="2">
        <v>4.1777777777777798</v>
      </c>
      <c r="N65" s="2">
        <v>3.3555555555555601</v>
      </c>
      <c r="O65" s="2">
        <v>2.0249999999999999</v>
      </c>
      <c r="P65" s="2">
        <v>2.66</v>
      </c>
      <c r="Q65" s="2">
        <v>2.2000000000000002</v>
      </c>
      <c r="R65" s="2">
        <v>2.2888888888888901</v>
      </c>
      <c r="S65" s="2">
        <v>2.2555555555555502</v>
      </c>
      <c r="T65" s="2">
        <v>2.9624999999999999</v>
      </c>
      <c r="U65" s="2">
        <v>1.84</v>
      </c>
      <c r="V65" s="2">
        <v>3.4375</v>
      </c>
      <c r="W65" s="2">
        <v>2.63333333333334</v>
      </c>
      <c r="X65" s="2">
        <v>3.0333333333333301</v>
      </c>
      <c r="Y65" s="2">
        <v>3.7374999999999998</v>
      </c>
      <c r="Z65" s="2">
        <v>2.0699999999999998</v>
      </c>
      <c r="AA65" s="27">
        <v>2.3250000000000002</v>
      </c>
      <c r="AB65" s="27">
        <v>1.9666666666666699</v>
      </c>
      <c r="AC65" s="27">
        <v>2.1</v>
      </c>
      <c r="AD65" s="27">
        <v>2.6749999999999998</v>
      </c>
      <c r="AE65" s="27">
        <v>1.98</v>
      </c>
      <c r="AF65" s="27">
        <v>3.4624999999999999</v>
      </c>
      <c r="AG65" s="27">
        <v>3.7333333333333401</v>
      </c>
      <c r="AH65" s="27">
        <v>2.9</v>
      </c>
      <c r="AI65" s="27">
        <v>2.5499999999999998</v>
      </c>
      <c r="AJ65" s="27">
        <v>2.37</v>
      </c>
    </row>
    <row r="66" spans="1:36" x14ac:dyDescent="0.2">
      <c r="A66" s="2">
        <v>65534</v>
      </c>
      <c r="B66" s="2">
        <v>1.1299999999999999</v>
      </c>
      <c r="C66" s="2">
        <v>2.44</v>
      </c>
      <c r="D66" s="2">
        <v>2.44</v>
      </c>
      <c r="E66" s="2">
        <v>4.38</v>
      </c>
      <c r="F66" s="2">
        <v>3.3</v>
      </c>
      <c r="G66" s="2">
        <v>2.0874999999999999</v>
      </c>
      <c r="H66" s="2">
        <v>4.3333333333333304</v>
      </c>
      <c r="I66" s="2">
        <v>2.1111111111111098</v>
      </c>
      <c r="J66" s="2">
        <v>3.3</v>
      </c>
      <c r="K66" s="2">
        <v>1.91</v>
      </c>
      <c r="L66" s="2">
        <v>2</v>
      </c>
      <c r="M66" s="2">
        <v>3.93333333333333</v>
      </c>
      <c r="N66" s="2">
        <v>2.9222222222222198</v>
      </c>
      <c r="O66" s="2">
        <v>1.9375</v>
      </c>
      <c r="P66" s="2">
        <v>2.71</v>
      </c>
      <c r="Q66" s="2">
        <v>2.75</v>
      </c>
      <c r="R66" s="2">
        <v>4.1111111111111098</v>
      </c>
      <c r="S66" s="2">
        <v>2.3888888888888902</v>
      </c>
      <c r="T66" s="2">
        <v>2.7749999999999999</v>
      </c>
      <c r="U66" s="2">
        <v>2.29</v>
      </c>
      <c r="V66" s="2">
        <v>2.5874999999999999</v>
      </c>
      <c r="W66" s="2">
        <v>3.7777777777777799</v>
      </c>
      <c r="X66" s="2">
        <v>2.2333333333333298</v>
      </c>
      <c r="Y66" s="2">
        <v>2.8374999999999999</v>
      </c>
      <c r="Z66" s="2">
        <v>3.26</v>
      </c>
      <c r="AA66" s="27">
        <v>2.125</v>
      </c>
      <c r="AB66" s="27">
        <v>4.4000000000000004</v>
      </c>
      <c r="AC66" s="27">
        <v>2.2000000000000002</v>
      </c>
      <c r="AD66" s="27">
        <v>3.0750000000000002</v>
      </c>
      <c r="AE66" s="27">
        <v>1.91</v>
      </c>
      <c r="AF66" s="27">
        <v>2</v>
      </c>
      <c r="AG66" s="27">
        <v>3.8444444444444499</v>
      </c>
      <c r="AH66" s="27">
        <v>2.9111111111111101</v>
      </c>
      <c r="AI66" s="27">
        <v>2</v>
      </c>
      <c r="AJ66" s="27">
        <v>2.82</v>
      </c>
    </row>
    <row r="67" spans="1:36" x14ac:dyDescent="0.2">
      <c r="A67" s="2">
        <v>65978</v>
      </c>
      <c r="B67" s="2">
        <v>1.38</v>
      </c>
      <c r="C67" s="2">
        <v>2.89</v>
      </c>
      <c r="D67" s="2">
        <v>1.78</v>
      </c>
      <c r="E67" s="2">
        <v>4</v>
      </c>
      <c r="F67" s="2">
        <v>2.1</v>
      </c>
      <c r="G67" s="2">
        <v>2.1</v>
      </c>
      <c r="H67" s="2">
        <v>3.8333333333333299</v>
      </c>
      <c r="I67" s="2">
        <v>2.8666666666666698</v>
      </c>
      <c r="J67" s="2">
        <v>3.625</v>
      </c>
      <c r="K67" s="2">
        <v>2.99</v>
      </c>
      <c r="L67" s="2">
        <v>2.125</v>
      </c>
      <c r="M67" s="2">
        <v>3.4555555555555499</v>
      </c>
      <c r="N67" s="2">
        <v>3.7444444444444498</v>
      </c>
      <c r="O67" s="2">
        <v>1.45</v>
      </c>
      <c r="P67" s="2">
        <v>2.95</v>
      </c>
      <c r="Q67" s="2">
        <v>3.3250000000000002</v>
      </c>
      <c r="R67" s="2">
        <v>3.24444444444444</v>
      </c>
      <c r="S67" s="2">
        <v>2.2888888888888901</v>
      </c>
      <c r="T67" s="2">
        <v>4.2750000000000004</v>
      </c>
      <c r="U67" s="2">
        <v>2.8</v>
      </c>
      <c r="V67" s="2">
        <v>2.9750000000000001</v>
      </c>
      <c r="W67" s="2">
        <v>3.1444444444444399</v>
      </c>
      <c r="X67" s="2">
        <v>3.0222222222222199</v>
      </c>
      <c r="Y67" s="2">
        <v>2.95</v>
      </c>
      <c r="Z67" s="2">
        <v>3.65</v>
      </c>
      <c r="AA67" s="27">
        <v>2.875</v>
      </c>
      <c r="AB67" s="27">
        <v>3.5888888888888899</v>
      </c>
      <c r="AC67" s="27">
        <v>2.2777777777777799</v>
      </c>
      <c r="AD67" s="27">
        <v>3.6749999999999998</v>
      </c>
      <c r="AE67" s="27">
        <v>3.1</v>
      </c>
      <c r="AF67" s="27">
        <v>2.2250000000000001</v>
      </c>
      <c r="AG67" s="27">
        <v>3.5888888888888899</v>
      </c>
      <c r="AH67" s="27">
        <v>3.0222222222222199</v>
      </c>
      <c r="AI67" s="27">
        <v>2</v>
      </c>
      <c r="AJ67" s="27">
        <v>2.58</v>
      </c>
    </row>
    <row r="68" spans="1:36" x14ac:dyDescent="0.2">
      <c r="A68" s="2">
        <v>67900</v>
      </c>
      <c r="B68" s="2">
        <v>1.5</v>
      </c>
      <c r="C68" s="2">
        <v>3.56</v>
      </c>
      <c r="D68" s="2">
        <v>4.8899999999999997</v>
      </c>
      <c r="E68" s="2">
        <v>4.38</v>
      </c>
      <c r="F68" s="2">
        <v>4.0999999999999996</v>
      </c>
      <c r="G68" s="2">
        <v>1.3</v>
      </c>
      <c r="H68" s="2">
        <v>3.4111111111111101</v>
      </c>
      <c r="I68" s="2">
        <v>2.0777777777777802</v>
      </c>
      <c r="J68" s="2">
        <v>4.9000000000000004</v>
      </c>
      <c r="K68" s="2">
        <v>2.2000000000000002</v>
      </c>
      <c r="L68" s="2">
        <v>1.3875</v>
      </c>
      <c r="M68" s="2">
        <v>3.3444444444444401</v>
      </c>
      <c r="N68" s="2">
        <v>2.4111111111111101</v>
      </c>
      <c r="O68" s="2">
        <v>4.4124999999999996</v>
      </c>
      <c r="P68" s="2">
        <v>1.99</v>
      </c>
      <c r="Q68" s="2">
        <v>2.0874999999999999</v>
      </c>
      <c r="R68" s="2">
        <v>3.4555555555555499</v>
      </c>
      <c r="S68" s="2">
        <v>2.43333333333333</v>
      </c>
      <c r="T68" s="2">
        <v>4.1375000000000002</v>
      </c>
      <c r="U68" s="2">
        <v>2.96</v>
      </c>
      <c r="V68" s="2">
        <v>2.7</v>
      </c>
      <c r="W68" s="2">
        <v>2.7777777777777799</v>
      </c>
      <c r="X68" s="2">
        <v>2.7222222222222201</v>
      </c>
      <c r="Y68" s="2">
        <v>2.2999999999999998</v>
      </c>
      <c r="Z68" s="2">
        <v>1.53</v>
      </c>
      <c r="AA68" s="27">
        <v>1.8</v>
      </c>
      <c r="AB68" s="27">
        <v>3.5</v>
      </c>
      <c r="AC68" s="27">
        <v>2.5</v>
      </c>
      <c r="AD68" s="27">
        <v>4.5999999999999996</v>
      </c>
      <c r="AE68" s="27">
        <v>3.07</v>
      </c>
      <c r="AF68" s="27">
        <v>1.8625</v>
      </c>
      <c r="AG68" s="27">
        <v>3.06666666666667</v>
      </c>
      <c r="AH68" s="27">
        <v>2.12222222222222</v>
      </c>
      <c r="AI68" s="27">
        <v>4.3250000000000002</v>
      </c>
      <c r="AJ68" s="27">
        <v>1.98</v>
      </c>
    </row>
    <row r="69" spans="1:36" x14ac:dyDescent="0.2">
      <c r="A69" s="2">
        <v>69820</v>
      </c>
      <c r="B69" s="2">
        <v>1.5</v>
      </c>
      <c r="C69" s="2">
        <v>4.67</v>
      </c>
      <c r="D69" s="2">
        <v>4</v>
      </c>
      <c r="E69" s="2">
        <v>3.88</v>
      </c>
      <c r="F69" s="2">
        <v>3.2</v>
      </c>
      <c r="G69" s="2">
        <v>2.5750000000000002</v>
      </c>
      <c r="H69" s="2">
        <v>4.4555555555555504</v>
      </c>
      <c r="I69" s="2">
        <v>3.1555555555555501</v>
      </c>
      <c r="J69" s="2">
        <v>4.8125</v>
      </c>
      <c r="K69" s="2">
        <v>2.88</v>
      </c>
      <c r="L69" s="2">
        <v>2.0874999999999999</v>
      </c>
      <c r="M69" s="2">
        <v>4.1666666666666696</v>
      </c>
      <c r="N69" s="2">
        <v>2.7333333333333298</v>
      </c>
      <c r="O69" s="2">
        <v>4.7625000000000002</v>
      </c>
      <c r="P69" s="2">
        <v>3.17</v>
      </c>
      <c r="Q69" s="2">
        <v>2.5625</v>
      </c>
      <c r="R69" s="2">
        <v>3.87777777777778</v>
      </c>
      <c r="S69" s="2">
        <v>2.2888888888888901</v>
      </c>
      <c r="T69" s="2">
        <v>4.8624999999999998</v>
      </c>
      <c r="U69" s="2">
        <v>2.4300000000000002</v>
      </c>
      <c r="V69" s="2">
        <v>2.6375000000000002</v>
      </c>
      <c r="W69" s="2">
        <v>3.9111111111111101</v>
      </c>
      <c r="X69" s="2">
        <v>3.1</v>
      </c>
      <c r="Y69" s="2">
        <v>4.3499999999999996</v>
      </c>
      <c r="Z69" s="2">
        <v>3.21</v>
      </c>
      <c r="AA69" s="27">
        <v>2.7374999999999998</v>
      </c>
      <c r="AB69" s="27">
        <v>4.3888888888888902</v>
      </c>
      <c r="AC69" s="27">
        <v>2.7777777777777799</v>
      </c>
      <c r="AD69" s="27">
        <v>4.875</v>
      </c>
      <c r="AE69" s="27">
        <v>2.73</v>
      </c>
      <c r="AF69" s="27">
        <v>2.2999999999999998</v>
      </c>
      <c r="AG69" s="27">
        <v>3.9888888888888898</v>
      </c>
      <c r="AH69" s="27">
        <v>2.1111111111111098</v>
      </c>
      <c r="AI69" s="27">
        <v>4.7874999999999996</v>
      </c>
      <c r="AJ69" s="27">
        <v>3.06</v>
      </c>
    </row>
    <row r="70" spans="1:36" x14ac:dyDescent="0.2">
      <c r="A70" s="2">
        <v>71586</v>
      </c>
      <c r="B70" s="2">
        <v>2.38</v>
      </c>
      <c r="C70" s="2">
        <v>3.89</v>
      </c>
      <c r="D70" s="2">
        <v>3.11</v>
      </c>
      <c r="E70" s="2">
        <v>3.63</v>
      </c>
      <c r="F70" s="2">
        <v>4.8</v>
      </c>
      <c r="G70" s="2">
        <v>3.05</v>
      </c>
      <c r="H70" s="2">
        <v>4.4444444444444402</v>
      </c>
      <c r="I70" s="2">
        <v>4.0111111111111102</v>
      </c>
      <c r="J70" s="2">
        <v>2.65</v>
      </c>
      <c r="K70" s="2">
        <v>4.83</v>
      </c>
      <c r="L70" s="2">
        <v>2.15</v>
      </c>
      <c r="M70" s="2">
        <v>4.5444444444444496</v>
      </c>
      <c r="N70" s="2">
        <v>4.4666666666666703</v>
      </c>
      <c r="O70" s="2">
        <v>1.85</v>
      </c>
      <c r="P70" s="2">
        <v>4.16</v>
      </c>
      <c r="Q70" s="2">
        <v>3.1749999999999998</v>
      </c>
      <c r="R70" s="2">
        <v>3.8888888888888902</v>
      </c>
      <c r="S70" s="2">
        <v>2.9444444444444402</v>
      </c>
      <c r="T70" s="2">
        <v>3.875</v>
      </c>
      <c r="U70" s="2">
        <v>4.74</v>
      </c>
      <c r="V70" s="2">
        <v>2.3624999999999998</v>
      </c>
      <c r="W70" s="2">
        <v>3.38888888888888</v>
      </c>
      <c r="X70" s="2">
        <v>3.5777777777777802</v>
      </c>
      <c r="Y70" s="2">
        <v>3.1</v>
      </c>
      <c r="Z70" s="2">
        <v>4.2300000000000004</v>
      </c>
      <c r="AA70" s="27">
        <v>3.5125000000000002</v>
      </c>
      <c r="AB70" s="27">
        <v>4.4444444444444402</v>
      </c>
      <c r="AC70" s="27">
        <v>3.6</v>
      </c>
      <c r="AD70" s="27">
        <v>2.85</v>
      </c>
      <c r="AE70" s="27">
        <v>4.72</v>
      </c>
      <c r="AF70" s="27">
        <v>2.5249999999999999</v>
      </c>
      <c r="AG70" s="27">
        <v>4.4888888888888898</v>
      </c>
      <c r="AH70" s="27">
        <v>4.1111111111111098</v>
      </c>
      <c r="AI70" s="27">
        <v>2</v>
      </c>
      <c r="AJ70" s="27">
        <v>4.25</v>
      </c>
    </row>
    <row r="71" spans="1:36" x14ac:dyDescent="0.2">
      <c r="A71" s="2">
        <v>71591</v>
      </c>
      <c r="B71" s="2">
        <v>4.25</v>
      </c>
      <c r="C71" s="2">
        <v>4.5599999999999996</v>
      </c>
      <c r="D71" s="2">
        <v>4.67</v>
      </c>
      <c r="E71" s="2">
        <v>2.25</v>
      </c>
      <c r="F71" s="2">
        <v>4</v>
      </c>
      <c r="G71" s="2">
        <v>3.35</v>
      </c>
      <c r="H71" s="2">
        <v>4.2111111111111104</v>
      </c>
      <c r="I71" s="2">
        <v>2.43333333333333</v>
      </c>
      <c r="J71" s="2">
        <v>1.7875000000000001</v>
      </c>
      <c r="K71" s="2">
        <v>2.79</v>
      </c>
      <c r="L71" s="2">
        <v>2.7124999999999999</v>
      </c>
      <c r="M71" s="2">
        <v>2.3222222222222202</v>
      </c>
      <c r="N71" s="2">
        <v>2.1111111111111098</v>
      </c>
      <c r="O71" s="2">
        <v>2.3875000000000002</v>
      </c>
      <c r="P71" s="2">
        <v>2.65</v>
      </c>
      <c r="Q71" s="2">
        <v>4.7750000000000004</v>
      </c>
      <c r="R71" s="2">
        <v>4.1777777777777798</v>
      </c>
      <c r="S71" s="2">
        <v>2.37777777777778</v>
      </c>
      <c r="T71" s="2">
        <v>1.875</v>
      </c>
      <c r="U71" s="2">
        <v>3.67</v>
      </c>
      <c r="V71" s="2">
        <v>4.1500000000000004</v>
      </c>
      <c r="W71" s="2">
        <v>2.74444444444444</v>
      </c>
      <c r="X71" s="2">
        <v>2.1111111111111098</v>
      </c>
      <c r="Y71" s="2">
        <v>2.5125000000000002</v>
      </c>
      <c r="Z71" s="2">
        <v>3.09</v>
      </c>
      <c r="AA71" s="27">
        <v>3.8624999999999998</v>
      </c>
      <c r="AB71" s="27">
        <v>4.06666666666667</v>
      </c>
      <c r="AC71" s="27">
        <v>2.1444444444444399</v>
      </c>
      <c r="AD71" s="27">
        <v>1.875</v>
      </c>
      <c r="AE71" s="27">
        <v>2.95</v>
      </c>
      <c r="AF71" s="27">
        <v>4.5875000000000004</v>
      </c>
      <c r="AG71" s="27">
        <v>2.3333333333333299</v>
      </c>
      <c r="AH71" s="27">
        <v>1.98888888888889</v>
      </c>
      <c r="AI71" s="27">
        <v>2.2374999999999998</v>
      </c>
      <c r="AJ71" s="27">
        <v>2.36</v>
      </c>
    </row>
    <row r="72" spans="1:36" x14ac:dyDescent="0.2">
      <c r="A72" s="2">
        <v>71920</v>
      </c>
      <c r="B72" s="2">
        <v>3.75</v>
      </c>
      <c r="C72" s="2">
        <v>4.4400000000000004</v>
      </c>
      <c r="D72" s="2">
        <v>3.56</v>
      </c>
      <c r="E72" s="2">
        <v>2.25</v>
      </c>
      <c r="F72" s="2">
        <v>4.3</v>
      </c>
      <c r="G72" s="2">
        <v>2.9</v>
      </c>
      <c r="H72" s="2">
        <v>4.3777777777777702</v>
      </c>
      <c r="I72" s="2">
        <v>2.1666666666666701</v>
      </c>
      <c r="J72" s="2">
        <v>1.8374999999999999</v>
      </c>
      <c r="K72" s="2">
        <v>2.8</v>
      </c>
      <c r="L72" s="2">
        <v>3.05</v>
      </c>
      <c r="M72" s="2">
        <v>3.4666666666666699</v>
      </c>
      <c r="N72" s="2">
        <v>2.1111111111111098</v>
      </c>
      <c r="O72" s="2">
        <v>1.9750000000000001</v>
      </c>
      <c r="P72" s="2">
        <v>2.76</v>
      </c>
      <c r="Q72" s="2">
        <v>3.6</v>
      </c>
      <c r="R72" s="2">
        <v>3.5111111111111102</v>
      </c>
      <c r="S72" s="2">
        <v>3.31111111111111</v>
      </c>
      <c r="T72" s="2">
        <v>2.5625</v>
      </c>
      <c r="U72" s="2">
        <v>3.36</v>
      </c>
      <c r="V72" s="2">
        <v>3.7250000000000001</v>
      </c>
      <c r="W72" s="2">
        <v>2.12222222222222</v>
      </c>
      <c r="X72" s="2">
        <v>1.9</v>
      </c>
      <c r="Y72" s="2">
        <v>2.8125</v>
      </c>
      <c r="Z72" s="2">
        <v>2.37</v>
      </c>
      <c r="AA72" s="27">
        <v>3.2250000000000001</v>
      </c>
      <c r="AB72" s="27">
        <v>4.2111111111111104</v>
      </c>
      <c r="AC72" s="27">
        <v>1.8444444444444501</v>
      </c>
      <c r="AD72" s="27">
        <v>1.95</v>
      </c>
      <c r="AE72" s="27">
        <v>2.59</v>
      </c>
      <c r="AF72" s="27">
        <v>3.9624999999999999</v>
      </c>
      <c r="AG72" s="27">
        <v>3.0111111111111102</v>
      </c>
      <c r="AH72" s="27">
        <v>1.8444444444444501</v>
      </c>
      <c r="AI72" s="27">
        <v>2.4750000000000001</v>
      </c>
      <c r="AJ72" s="27">
        <v>2.61</v>
      </c>
    </row>
    <row r="73" spans="1:36" x14ac:dyDescent="0.2">
      <c r="A73" s="2">
        <v>72945</v>
      </c>
      <c r="B73" s="2">
        <v>2.5</v>
      </c>
      <c r="C73" s="2">
        <v>3.11</v>
      </c>
      <c r="D73" s="2">
        <v>2.89</v>
      </c>
      <c r="E73" s="2">
        <v>4.5</v>
      </c>
      <c r="F73" s="2">
        <v>4.5</v>
      </c>
      <c r="G73" s="2">
        <v>2.5874999999999999</v>
      </c>
      <c r="H73" s="2">
        <v>2.8222222222222202</v>
      </c>
      <c r="I73" s="2">
        <v>3.74444444444444</v>
      </c>
      <c r="J73" s="2">
        <v>2.9</v>
      </c>
      <c r="K73" s="2">
        <v>2.61</v>
      </c>
      <c r="L73" s="2">
        <v>3.55</v>
      </c>
      <c r="M73" s="2">
        <v>2.9777777777777801</v>
      </c>
      <c r="N73" s="2">
        <v>3.5111111111111102</v>
      </c>
      <c r="O73" s="2">
        <v>1.6375</v>
      </c>
      <c r="P73" s="2">
        <v>3.7</v>
      </c>
      <c r="Q73" s="2">
        <v>3.5750000000000002</v>
      </c>
      <c r="R73" s="2">
        <v>2.7</v>
      </c>
      <c r="S73" s="2">
        <v>2.6666666666666701</v>
      </c>
      <c r="T73" s="2">
        <v>3.7250000000000001</v>
      </c>
      <c r="U73" s="2">
        <v>2.25</v>
      </c>
      <c r="V73" s="2">
        <v>4.2374999999999998</v>
      </c>
      <c r="W73" s="2">
        <v>2.2333333333333298</v>
      </c>
      <c r="X73" s="2">
        <v>2.9888888888888898</v>
      </c>
      <c r="Y73" s="2">
        <v>3.3624999999999998</v>
      </c>
      <c r="Z73" s="2">
        <v>3.69</v>
      </c>
      <c r="AA73" s="27">
        <v>2.4375</v>
      </c>
      <c r="AB73" s="27">
        <v>2.7444444444444498</v>
      </c>
      <c r="AC73" s="27">
        <v>2.93333333333333</v>
      </c>
      <c r="AD73" s="27">
        <v>3.5375000000000001</v>
      </c>
      <c r="AE73" s="27">
        <v>2.5</v>
      </c>
      <c r="AF73" s="27">
        <v>3.7374999999999998</v>
      </c>
      <c r="AG73" s="27">
        <v>3.0444444444444398</v>
      </c>
      <c r="AH73" s="27">
        <v>2.9888888888888898</v>
      </c>
      <c r="AI73" s="27">
        <v>1.925</v>
      </c>
      <c r="AJ73" s="27">
        <v>3.62</v>
      </c>
    </row>
    <row r="74" spans="1:36" x14ac:dyDescent="0.2">
      <c r="A74" s="2">
        <v>74568</v>
      </c>
      <c r="B74" s="2">
        <v>4</v>
      </c>
      <c r="C74" s="2">
        <v>4.67</v>
      </c>
      <c r="D74" s="2">
        <v>4.78</v>
      </c>
      <c r="E74" s="2">
        <v>2</v>
      </c>
      <c r="F74" s="2">
        <v>3.7</v>
      </c>
      <c r="G74" s="2">
        <v>4.8375000000000004</v>
      </c>
      <c r="H74" s="2">
        <v>4.7888888888888896</v>
      </c>
      <c r="I74" s="2">
        <v>3.9777777777777801</v>
      </c>
      <c r="J74" s="2">
        <v>1.35</v>
      </c>
      <c r="K74" s="2">
        <v>3.86</v>
      </c>
      <c r="L74" s="2">
        <v>4.5</v>
      </c>
      <c r="M74" s="2">
        <v>4.56666666666667</v>
      </c>
      <c r="N74" s="2">
        <v>4.1111111111111098</v>
      </c>
      <c r="O74" s="2">
        <v>1.2375</v>
      </c>
      <c r="P74" s="2">
        <v>3.27</v>
      </c>
      <c r="Q74" s="2">
        <v>4.2874999999999996</v>
      </c>
      <c r="R74" s="2">
        <v>3.74444444444444</v>
      </c>
      <c r="S74" s="2">
        <v>3.6777777777777798</v>
      </c>
      <c r="T74" s="2">
        <v>1.875</v>
      </c>
      <c r="U74" s="2">
        <v>4.13</v>
      </c>
      <c r="V74" s="2">
        <v>3.4249999999999998</v>
      </c>
      <c r="W74" s="2">
        <v>3.43333333333333</v>
      </c>
      <c r="X74" s="2">
        <v>3.68888888888889</v>
      </c>
      <c r="Y74" s="2">
        <v>3.6625000000000001</v>
      </c>
      <c r="Z74" s="2">
        <v>2.4500000000000002</v>
      </c>
      <c r="AA74" s="27">
        <v>4.7625000000000002</v>
      </c>
      <c r="AB74" s="27">
        <v>4.7444444444444498</v>
      </c>
      <c r="AC74" s="27">
        <v>3.1333333333333302</v>
      </c>
      <c r="AD74" s="27">
        <v>1.4125000000000001</v>
      </c>
      <c r="AE74" s="27">
        <v>3.67</v>
      </c>
      <c r="AF74" s="27">
        <v>5</v>
      </c>
      <c r="AG74" s="27">
        <v>3.9666666666666699</v>
      </c>
      <c r="AH74" s="27">
        <v>4.06666666666667</v>
      </c>
      <c r="AI74" s="27">
        <v>1.2</v>
      </c>
      <c r="AJ74" s="27">
        <v>3.31</v>
      </c>
    </row>
    <row r="75" spans="1:36" x14ac:dyDescent="0.2">
      <c r="A75" s="2">
        <v>76134</v>
      </c>
      <c r="B75" s="2">
        <v>2.63</v>
      </c>
      <c r="C75" s="2">
        <v>3.11</v>
      </c>
      <c r="D75" s="2">
        <v>2.33</v>
      </c>
      <c r="E75" s="2">
        <v>2.75</v>
      </c>
      <c r="F75" s="2">
        <v>3</v>
      </c>
      <c r="G75" s="2">
        <v>3.3875000000000002</v>
      </c>
      <c r="H75" s="2">
        <v>3.2333333333333298</v>
      </c>
      <c r="I75" s="2">
        <v>4.1111111111111098</v>
      </c>
      <c r="J75" s="2">
        <v>1.875</v>
      </c>
      <c r="K75" s="2">
        <v>1.95</v>
      </c>
      <c r="L75" s="2">
        <v>3.0125000000000002</v>
      </c>
      <c r="M75" s="2">
        <v>3.1333333333333302</v>
      </c>
      <c r="N75" s="2">
        <v>3.2333333333333298</v>
      </c>
      <c r="O75" s="2">
        <v>3.0125000000000002</v>
      </c>
      <c r="P75" s="2">
        <v>3.02</v>
      </c>
      <c r="Q75" s="2">
        <v>3.4750000000000001</v>
      </c>
      <c r="R75" s="2">
        <v>2.81111111111111</v>
      </c>
      <c r="S75" s="2">
        <v>2.24444444444444</v>
      </c>
      <c r="T75" s="2">
        <v>2.4874999999999998</v>
      </c>
      <c r="U75" s="2">
        <v>1.97</v>
      </c>
      <c r="V75" s="2">
        <v>3.55</v>
      </c>
      <c r="W75" s="2">
        <v>2.2999999999999998</v>
      </c>
      <c r="X75" s="2">
        <v>2.5111111111111102</v>
      </c>
      <c r="Y75" s="2">
        <v>3.0125000000000002</v>
      </c>
      <c r="Z75" s="2">
        <v>2.94</v>
      </c>
      <c r="AA75" s="27">
        <v>3.7124999999999999</v>
      </c>
      <c r="AB75" s="27">
        <v>3.4777777777777801</v>
      </c>
      <c r="AC75" s="27">
        <v>3.4888888888888898</v>
      </c>
      <c r="AD75" s="27">
        <v>1.8875</v>
      </c>
      <c r="AE75" s="27">
        <v>2.04</v>
      </c>
      <c r="AF75" s="27">
        <v>3.125</v>
      </c>
      <c r="AG75" s="27">
        <v>3.0444444444444398</v>
      </c>
      <c r="AH75" s="27">
        <v>2.1777777777777798</v>
      </c>
      <c r="AI75" s="27">
        <v>3.4750000000000001</v>
      </c>
      <c r="AJ75" s="27">
        <v>2.89</v>
      </c>
    </row>
    <row r="76" spans="1:36" x14ac:dyDescent="0.2">
      <c r="A76" s="2">
        <v>77117</v>
      </c>
      <c r="B76" s="2">
        <v>4.5</v>
      </c>
      <c r="C76" s="2">
        <v>4.22</v>
      </c>
      <c r="D76" s="2">
        <v>4.78</v>
      </c>
      <c r="E76" s="2">
        <v>2.5</v>
      </c>
      <c r="F76" s="2">
        <v>4.3</v>
      </c>
      <c r="G76" s="2">
        <v>2.0625</v>
      </c>
      <c r="H76" s="2">
        <v>3.3333333333333299</v>
      </c>
      <c r="I76" s="2">
        <v>2.31111111111111</v>
      </c>
      <c r="J76" s="2">
        <v>1.9</v>
      </c>
      <c r="K76" s="2">
        <v>3</v>
      </c>
      <c r="L76" s="2">
        <v>3</v>
      </c>
      <c r="M76" s="2">
        <v>4.4444444444444402</v>
      </c>
      <c r="N76" s="2">
        <v>3.8888888888888902</v>
      </c>
      <c r="O76" s="2">
        <v>2.1749999999999998</v>
      </c>
      <c r="P76" s="2">
        <v>3.29</v>
      </c>
      <c r="Q76" s="2">
        <v>3.4375</v>
      </c>
      <c r="R76" s="2">
        <v>2.3333333333333299</v>
      </c>
      <c r="S76" s="2">
        <v>3.1</v>
      </c>
      <c r="T76" s="2">
        <v>2.8250000000000002</v>
      </c>
      <c r="U76" s="2">
        <v>2.75</v>
      </c>
      <c r="V76" s="2">
        <v>3.7374999999999998</v>
      </c>
      <c r="W76" s="2">
        <v>3.3</v>
      </c>
      <c r="X76" s="2">
        <v>4.1777777777777798</v>
      </c>
      <c r="Y76" s="2">
        <v>2.95</v>
      </c>
      <c r="Z76" s="2">
        <v>3.44</v>
      </c>
      <c r="AA76" s="27">
        <v>2.5</v>
      </c>
      <c r="AB76" s="27">
        <v>3.1</v>
      </c>
      <c r="AC76" s="27">
        <v>2.24444444444444</v>
      </c>
      <c r="AD76" s="27">
        <v>2</v>
      </c>
      <c r="AE76" s="27">
        <v>3</v>
      </c>
      <c r="AF76" s="27">
        <v>3</v>
      </c>
      <c r="AG76" s="27">
        <v>4.4111111111111097</v>
      </c>
      <c r="AH76" s="27">
        <v>2.4444444444444402</v>
      </c>
      <c r="AI76" s="27">
        <v>2.9375</v>
      </c>
      <c r="AJ76" s="27">
        <v>3.14</v>
      </c>
    </row>
    <row r="77" spans="1:36" x14ac:dyDescent="0.2">
      <c r="A77" s="2">
        <v>81053</v>
      </c>
      <c r="B77" s="2">
        <v>2.13</v>
      </c>
      <c r="C77" s="2">
        <v>4.33</v>
      </c>
      <c r="D77" s="2">
        <v>4.67</v>
      </c>
      <c r="E77" s="2">
        <v>2.63</v>
      </c>
      <c r="F77" s="2">
        <v>3.4</v>
      </c>
      <c r="G77" s="2">
        <v>2.25</v>
      </c>
      <c r="H77" s="2">
        <v>4.4444444444444402</v>
      </c>
      <c r="I77" s="2">
        <v>4.68888888888889</v>
      </c>
      <c r="J77" s="2">
        <v>1.55</v>
      </c>
      <c r="K77" s="2">
        <v>3.07</v>
      </c>
      <c r="L77" s="2">
        <v>2.3250000000000002</v>
      </c>
      <c r="M77" s="2">
        <v>2.8555555555555601</v>
      </c>
      <c r="N77" s="2">
        <v>2.24444444444444</v>
      </c>
      <c r="O77" s="2">
        <v>1.6625000000000001</v>
      </c>
      <c r="P77" s="2">
        <v>2.73</v>
      </c>
      <c r="Q77" s="2">
        <v>2.9</v>
      </c>
      <c r="R77" s="2">
        <v>3.2</v>
      </c>
      <c r="S77" s="2">
        <v>2.9666666666666699</v>
      </c>
      <c r="T77" s="2">
        <v>2.7875000000000001</v>
      </c>
      <c r="U77" s="2">
        <v>2.97</v>
      </c>
      <c r="V77" s="2">
        <v>3.75</v>
      </c>
      <c r="W77" s="2">
        <v>2.2222222222222201</v>
      </c>
      <c r="X77" s="2">
        <v>2.1111111111111098</v>
      </c>
      <c r="Y77" s="2">
        <v>1.9375</v>
      </c>
      <c r="Z77" s="2">
        <v>2.13</v>
      </c>
      <c r="AA77" s="27">
        <v>3.0625</v>
      </c>
      <c r="AB77" s="27">
        <v>4.4444444444444402</v>
      </c>
      <c r="AC77" s="27">
        <v>4.1444444444444404</v>
      </c>
      <c r="AD77" s="27">
        <v>1.8875</v>
      </c>
      <c r="AE77" s="27">
        <v>3.19</v>
      </c>
      <c r="AF77" s="27">
        <v>3.55</v>
      </c>
      <c r="AG77" s="27">
        <v>2.8</v>
      </c>
      <c r="AH77" s="27">
        <v>2.1444444444444399</v>
      </c>
      <c r="AI77" s="27">
        <v>1.3625</v>
      </c>
      <c r="AJ77" s="27">
        <v>2.4</v>
      </c>
    </row>
    <row r="78" spans="1:36" x14ac:dyDescent="0.2">
      <c r="A78" s="2">
        <v>82305</v>
      </c>
      <c r="B78" s="2">
        <v>1.75</v>
      </c>
      <c r="C78" s="2">
        <v>3.67</v>
      </c>
      <c r="D78" s="2">
        <v>4.22</v>
      </c>
      <c r="E78" s="2">
        <v>2</v>
      </c>
      <c r="F78" s="2">
        <v>2.2000000000000002</v>
      </c>
      <c r="G78" s="2">
        <v>3.8374999999999999</v>
      </c>
      <c r="H78" s="2">
        <v>3.9</v>
      </c>
      <c r="I78" s="2">
        <v>2.2222222222222201</v>
      </c>
      <c r="J78" s="2">
        <v>1.7250000000000001</v>
      </c>
      <c r="K78" s="2">
        <v>2.84</v>
      </c>
      <c r="L78" s="2">
        <v>3.1124999999999998</v>
      </c>
      <c r="M78" s="2">
        <v>3.6777777777777798</v>
      </c>
      <c r="N78" s="2">
        <v>3.9222222222222198</v>
      </c>
      <c r="O78" s="2">
        <v>1.75</v>
      </c>
      <c r="P78" s="2">
        <v>2.27</v>
      </c>
      <c r="Q78" s="2">
        <v>4.3</v>
      </c>
      <c r="R78" s="2">
        <v>3.9111111111111101</v>
      </c>
      <c r="S78" s="2">
        <v>2.0777777777777802</v>
      </c>
      <c r="T78" s="2">
        <v>2.4624999999999999</v>
      </c>
      <c r="U78" s="2">
        <v>3.03</v>
      </c>
      <c r="V78" s="2">
        <v>4.2125000000000004</v>
      </c>
      <c r="W78" s="2">
        <v>3.4666666666666699</v>
      </c>
      <c r="X78" s="2">
        <v>2.0222222222222199</v>
      </c>
      <c r="Y78" s="2">
        <v>3.75</v>
      </c>
      <c r="Z78" s="2">
        <v>2.88</v>
      </c>
      <c r="AA78" s="27">
        <v>4.4000000000000004</v>
      </c>
      <c r="AB78" s="27">
        <v>4.0444444444444398</v>
      </c>
      <c r="AC78" s="27">
        <v>2.1111111111111098</v>
      </c>
      <c r="AD78" s="27">
        <v>1.875</v>
      </c>
      <c r="AE78" s="27">
        <v>3.01</v>
      </c>
      <c r="AF78" s="27">
        <v>3.3624999999999998</v>
      </c>
      <c r="AG78" s="27">
        <v>3.9888888888888898</v>
      </c>
      <c r="AH78" s="27">
        <v>3.1</v>
      </c>
      <c r="AI78" s="27">
        <v>1.875</v>
      </c>
      <c r="AJ78" s="27">
        <v>2.73</v>
      </c>
    </row>
    <row r="79" spans="1:36" x14ac:dyDescent="0.2">
      <c r="A79" s="2">
        <v>83111</v>
      </c>
      <c r="B79" s="2">
        <v>3.38</v>
      </c>
      <c r="C79" s="2">
        <v>5</v>
      </c>
      <c r="D79" s="2">
        <v>5</v>
      </c>
      <c r="E79" s="2">
        <v>2</v>
      </c>
      <c r="F79" s="2">
        <v>3.9</v>
      </c>
      <c r="G79" s="2">
        <v>2.4750000000000001</v>
      </c>
      <c r="H79" s="2">
        <v>3.63333333333334</v>
      </c>
      <c r="I79" s="2">
        <v>2.1111111111111098</v>
      </c>
      <c r="J79" s="2">
        <v>4.5750000000000002</v>
      </c>
      <c r="K79" s="2">
        <v>2.54</v>
      </c>
      <c r="L79" s="2">
        <v>2</v>
      </c>
      <c r="M79" s="2">
        <v>3.4888888888888898</v>
      </c>
      <c r="N79" s="2">
        <v>2.4888888888888898</v>
      </c>
      <c r="O79" s="2">
        <v>4.4874999999999998</v>
      </c>
      <c r="P79" s="2">
        <v>2.13</v>
      </c>
      <c r="Q79" s="2">
        <v>3.4375</v>
      </c>
      <c r="R79" s="2">
        <v>2.7111111111111099</v>
      </c>
      <c r="S79" s="2">
        <v>3.1111111111111098</v>
      </c>
      <c r="T79" s="2">
        <v>4.1875</v>
      </c>
      <c r="U79" s="2">
        <v>2.14</v>
      </c>
      <c r="V79" s="2">
        <v>2.9125000000000001</v>
      </c>
      <c r="W79" s="2">
        <v>2.1333333333333302</v>
      </c>
      <c r="X79" s="2">
        <v>2.3222222222222202</v>
      </c>
      <c r="Y79" s="2">
        <v>4.6500000000000004</v>
      </c>
      <c r="Z79" s="2">
        <v>2.86</v>
      </c>
      <c r="AA79" s="27">
        <v>2.7374999999999998</v>
      </c>
      <c r="AB79" s="27">
        <v>3.4111111111111101</v>
      </c>
      <c r="AC79" s="27">
        <v>2.12222222222222</v>
      </c>
      <c r="AD79" s="27">
        <v>4.625</v>
      </c>
      <c r="AE79" s="27">
        <v>2.39</v>
      </c>
      <c r="AF79" s="27">
        <v>2.6</v>
      </c>
      <c r="AG79" s="27">
        <v>3.5888888888888899</v>
      </c>
      <c r="AH79" s="27">
        <v>2.12222222222222</v>
      </c>
      <c r="AI79" s="27">
        <v>4.625</v>
      </c>
      <c r="AJ79" s="27">
        <v>2.2000000000000002</v>
      </c>
    </row>
    <row r="80" spans="1:36" x14ac:dyDescent="0.2">
      <c r="A80" s="2">
        <v>83220</v>
      </c>
      <c r="B80" s="2">
        <v>1.88</v>
      </c>
      <c r="C80" s="2">
        <v>3.44</v>
      </c>
      <c r="D80" s="2">
        <v>4.33</v>
      </c>
      <c r="E80" s="2">
        <v>2.75</v>
      </c>
      <c r="F80" s="2">
        <v>4</v>
      </c>
      <c r="G80" s="2">
        <v>3.0375000000000001</v>
      </c>
      <c r="H80" s="2">
        <v>3.4222222222222198</v>
      </c>
      <c r="I80" s="2">
        <v>3.7444444444444498</v>
      </c>
      <c r="J80" s="2">
        <v>1.8625</v>
      </c>
      <c r="K80" s="2">
        <v>4.04</v>
      </c>
      <c r="L80" s="2">
        <v>3.625</v>
      </c>
      <c r="M80" s="2">
        <v>2.4111111111111101</v>
      </c>
      <c r="N80" s="2">
        <v>2.24444444444444</v>
      </c>
      <c r="O80" s="2">
        <v>1.4</v>
      </c>
      <c r="P80" s="2">
        <v>2.96</v>
      </c>
      <c r="Q80" s="2">
        <v>3.15</v>
      </c>
      <c r="R80" s="2">
        <v>3.5888888888888899</v>
      </c>
      <c r="S80" s="2">
        <v>3.31111111111111</v>
      </c>
      <c r="T80" s="2">
        <v>1.875</v>
      </c>
      <c r="U80" s="2">
        <v>4.59</v>
      </c>
      <c r="V80" s="2">
        <v>4.625</v>
      </c>
      <c r="W80" s="2">
        <v>2.4222222222222198</v>
      </c>
      <c r="X80" s="2">
        <v>2.0444444444444398</v>
      </c>
      <c r="Y80" s="2">
        <v>2.3374999999999999</v>
      </c>
      <c r="Z80" s="2">
        <v>1.82</v>
      </c>
      <c r="AA80" s="27">
        <v>3.0750000000000002</v>
      </c>
      <c r="AB80" s="27">
        <v>3.5</v>
      </c>
      <c r="AC80" s="27">
        <v>2.75555555555556</v>
      </c>
      <c r="AD80" s="27">
        <v>1.9750000000000001</v>
      </c>
      <c r="AE80" s="27">
        <v>3.98</v>
      </c>
      <c r="AF80" s="27">
        <v>4.6124999999999998</v>
      </c>
      <c r="AG80" s="27">
        <v>2.8888888888888902</v>
      </c>
      <c r="AH80" s="27">
        <v>2.0777777777777802</v>
      </c>
      <c r="AI80" s="27">
        <v>1.9</v>
      </c>
      <c r="AJ80" s="27">
        <v>2.88</v>
      </c>
    </row>
    <row r="81" spans="1:36" x14ac:dyDescent="0.2">
      <c r="A81" s="2">
        <v>84409</v>
      </c>
      <c r="B81" s="2">
        <v>1.5</v>
      </c>
      <c r="C81" s="2">
        <v>3.44</v>
      </c>
      <c r="D81" s="2">
        <v>3.22</v>
      </c>
      <c r="E81" s="2">
        <v>4.25</v>
      </c>
      <c r="F81" s="2">
        <v>3.1</v>
      </c>
      <c r="G81" s="2">
        <v>1</v>
      </c>
      <c r="H81" s="2">
        <v>3.5</v>
      </c>
      <c r="I81" s="2">
        <v>2.24444444444444</v>
      </c>
      <c r="J81" s="2">
        <v>3.8374999999999999</v>
      </c>
      <c r="K81" s="2">
        <v>1.99</v>
      </c>
      <c r="L81" s="2">
        <v>2</v>
      </c>
      <c r="M81" s="2">
        <v>3.2888888888888901</v>
      </c>
      <c r="N81" s="2">
        <v>2.2777777777777799</v>
      </c>
      <c r="O81" s="2">
        <v>3.1625000000000001</v>
      </c>
      <c r="P81" s="2">
        <v>2.0699999999999998</v>
      </c>
      <c r="Q81" s="2">
        <v>3.7374999999999998</v>
      </c>
      <c r="R81" s="2">
        <v>3.62222222222222</v>
      </c>
      <c r="S81" s="2">
        <v>2.43333333333333</v>
      </c>
      <c r="T81" s="2">
        <v>4.25</v>
      </c>
      <c r="U81" s="2">
        <v>2.42</v>
      </c>
      <c r="V81" s="2">
        <v>3.5249999999999999</v>
      </c>
      <c r="W81" s="2">
        <v>3.5555555555555598</v>
      </c>
      <c r="X81" s="2">
        <v>2.18888888888889</v>
      </c>
      <c r="Y81" s="2">
        <v>4</v>
      </c>
      <c r="Z81" s="2">
        <v>2.7</v>
      </c>
      <c r="AA81" s="27">
        <v>1.9375</v>
      </c>
      <c r="AB81" s="27">
        <v>3.3222222222222202</v>
      </c>
      <c r="AC81" s="27">
        <v>2.3222222222222202</v>
      </c>
      <c r="AD81" s="27">
        <v>2.6124999999999998</v>
      </c>
      <c r="AE81" s="27">
        <v>2.2200000000000002</v>
      </c>
      <c r="AF81" s="27">
        <v>2</v>
      </c>
      <c r="AG81" s="27">
        <v>3.2222222222222201</v>
      </c>
      <c r="AH81" s="27">
        <v>2.06666666666667</v>
      </c>
      <c r="AI81" s="27">
        <v>3.3</v>
      </c>
      <c r="AJ81" s="27">
        <v>2.5499999999999998</v>
      </c>
    </row>
    <row r="82" spans="1:36" x14ac:dyDescent="0.2">
      <c r="A82" s="2">
        <v>87091</v>
      </c>
      <c r="B82" s="2">
        <v>3.5</v>
      </c>
      <c r="C82" s="2">
        <v>5</v>
      </c>
      <c r="D82" s="2">
        <v>5</v>
      </c>
      <c r="E82" s="2">
        <v>1.5</v>
      </c>
      <c r="F82" s="2">
        <v>4.7</v>
      </c>
      <c r="G82" s="2">
        <v>2.1749999999999998</v>
      </c>
      <c r="H82" s="2">
        <v>4.3</v>
      </c>
      <c r="I82" s="2">
        <v>2.4555555555555602</v>
      </c>
      <c r="J82" s="2">
        <v>1.1625000000000001</v>
      </c>
      <c r="K82" s="2">
        <v>2.36</v>
      </c>
      <c r="L82" s="2">
        <v>2.2124999999999999</v>
      </c>
      <c r="M82" s="2">
        <v>3.0333333333333301</v>
      </c>
      <c r="N82" s="2">
        <v>2.1333333333333302</v>
      </c>
      <c r="O82" s="2">
        <v>2.8</v>
      </c>
      <c r="P82" s="2">
        <v>3.02</v>
      </c>
      <c r="Q82" s="2">
        <v>3.1749999999999998</v>
      </c>
      <c r="R82" s="2">
        <v>3.4888888888888898</v>
      </c>
      <c r="S82" s="2">
        <v>2.12222222222222</v>
      </c>
      <c r="T82" s="2">
        <v>2.3125</v>
      </c>
      <c r="U82" s="2">
        <v>2.6</v>
      </c>
      <c r="V82" s="2">
        <v>3.1875</v>
      </c>
      <c r="W82" s="2">
        <v>3.0111111111111102</v>
      </c>
      <c r="X82" s="2">
        <v>2.9666666666666699</v>
      </c>
      <c r="Y82" s="2">
        <v>4.125</v>
      </c>
      <c r="Z82" s="2">
        <v>3.06</v>
      </c>
      <c r="AA82" s="27">
        <v>2.2875000000000001</v>
      </c>
      <c r="AB82" s="27">
        <v>4.31111111111111</v>
      </c>
      <c r="AC82" s="27">
        <v>2.3666666666666698</v>
      </c>
      <c r="AD82" s="27">
        <v>1.3625</v>
      </c>
      <c r="AE82" s="27">
        <v>2.39</v>
      </c>
      <c r="AF82" s="27">
        <v>3.1375000000000002</v>
      </c>
      <c r="AG82" s="27">
        <v>3.4444444444444402</v>
      </c>
      <c r="AH82" s="27">
        <v>2.0888888888888899</v>
      </c>
      <c r="AI82" s="27">
        <v>3.25</v>
      </c>
      <c r="AJ82" s="27">
        <v>2.99</v>
      </c>
    </row>
    <row r="83" spans="1:36" x14ac:dyDescent="0.2">
      <c r="A83" s="2">
        <v>87842</v>
      </c>
      <c r="B83" s="2">
        <v>1.63</v>
      </c>
      <c r="C83" s="2">
        <v>3.56</v>
      </c>
      <c r="D83" s="2">
        <v>3.89</v>
      </c>
      <c r="E83" s="2">
        <v>1.63</v>
      </c>
      <c r="F83" s="2">
        <v>2.9</v>
      </c>
      <c r="G83" s="2">
        <v>2.8875000000000002</v>
      </c>
      <c r="H83" s="2">
        <v>4.4111111111111097</v>
      </c>
      <c r="I83" s="2">
        <v>2.8888888888888902</v>
      </c>
      <c r="J83" s="2">
        <v>1.5375000000000001</v>
      </c>
      <c r="K83" s="2">
        <v>2.91</v>
      </c>
      <c r="L83" s="2">
        <v>3</v>
      </c>
      <c r="M83" s="2">
        <v>4.1777777777777798</v>
      </c>
      <c r="N83" s="2">
        <v>2.8222222222222202</v>
      </c>
      <c r="O83" s="2">
        <v>1.2375</v>
      </c>
      <c r="P83" s="2">
        <v>2.4500000000000002</v>
      </c>
      <c r="Q83" s="2">
        <v>3.2374999999999998</v>
      </c>
      <c r="R83" s="2">
        <v>3.9</v>
      </c>
      <c r="S83" s="2">
        <v>2.5222222222222199</v>
      </c>
      <c r="T83" s="2">
        <v>1.175</v>
      </c>
      <c r="U83" s="2">
        <v>2.93</v>
      </c>
      <c r="V83" s="2">
        <v>3.625</v>
      </c>
      <c r="W83" s="2">
        <v>2.94444444444445</v>
      </c>
      <c r="X83" s="2">
        <v>2.9111111111111101</v>
      </c>
      <c r="Y83" s="2">
        <v>3.5874999999999999</v>
      </c>
      <c r="Z83" s="2">
        <v>2.1800000000000002</v>
      </c>
      <c r="AA83" s="27">
        <v>3.0375000000000001</v>
      </c>
      <c r="AB83" s="27">
        <v>4.5222222222222204</v>
      </c>
      <c r="AC83" s="27">
        <v>2.9777777777777801</v>
      </c>
      <c r="AD83" s="27">
        <v>1.65</v>
      </c>
      <c r="AE83" s="27">
        <v>2.96</v>
      </c>
      <c r="AF83" s="27">
        <v>3.6749999999999998</v>
      </c>
      <c r="AG83" s="27">
        <v>4.2111111111111104</v>
      </c>
      <c r="AH83" s="27">
        <v>2.2777777777777799</v>
      </c>
      <c r="AI83" s="27">
        <v>1.1625000000000001</v>
      </c>
      <c r="AJ83" s="27">
        <v>2.4300000000000002</v>
      </c>
    </row>
    <row r="84" spans="1:36" x14ac:dyDescent="0.2">
      <c r="A84" s="2">
        <v>88009</v>
      </c>
      <c r="B84" s="2">
        <v>2.88</v>
      </c>
      <c r="C84" s="2">
        <v>3.22</v>
      </c>
      <c r="D84" s="2">
        <v>3.56</v>
      </c>
      <c r="E84" s="2">
        <v>2.13</v>
      </c>
      <c r="F84" s="2">
        <v>4.3</v>
      </c>
      <c r="G84" s="2">
        <v>1.4375</v>
      </c>
      <c r="H84" s="2">
        <v>3.5</v>
      </c>
      <c r="I84" s="2">
        <v>3.7888888888888901</v>
      </c>
      <c r="J84" s="2">
        <v>1.9750000000000001</v>
      </c>
      <c r="K84" s="2">
        <v>3.51</v>
      </c>
      <c r="L84" s="2">
        <v>2.2124999999999999</v>
      </c>
      <c r="M84" s="2">
        <v>3.2333333333333298</v>
      </c>
      <c r="N84" s="2">
        <v>4.0777777777777802</v>
      </c>
      <c r="O84" s="2">
        <v>1.3374999999999999</v>
      </c>
      <c r="P84" s="2">
        <v>4.0199999999999996</v>
      </c>
      <c r="Q84" s="2">
        <v>2.9</v>
      </c>
      <c r="R84" s="2">
        <v>4.1777777777777798</v>
      </c>
      <c r="S84" s="2">
        <v>3.4666666666666699</v>
      </c>
      <c r="T84" s="2">
        <v>1.925</v>
      </c>
      <c r="U84" s="2">
        <v>4.17</v>
      </c>
      <c r="V84" s="2">
        <v>3.2374999999999998</v>
      </c>
      <c r="W84" s="2">
        <v>3.8333333333333299</v>
      </c>
      <c r="X84" s="2">
        <v>3.1</v>
      </c>
      <c r="Y84" s="2">
        <v>3.65</v>
      </c>
      <c r="Z84" s="2">
        <v>3.85</v>
      </c>
      <c r="AA84" s="27">
        <v>1.5125</v>
      </c>
      <c r="AB84" s="27">
        <v>3.4444444444444402</v>
      </c>
      <c r="AC84" s="27">
        <v>3.37777777777778</v>
      </c>
      <c r="AD84" s="27">
        <v>2</v>
      </c>
      <c r="AE84" s="27">
        <v>4</v>
      </c>
      <c r="AF84" s="27">
        <v>2.4750000000000001</v>
      </c>
      <c r="AG84" s="27">
        <v>3.06666666666667</v>
      </c>
      <c r="AH84" s="27">
        <v>4.0555555555555598</v>
      </c>
      <c r="AI84" s="27">
        <v>2.25</v>
      </c>
      <c r="AJ84" s="27">
        <v>4</v>
      </c>
    </row>
    <row r="85" spans="1:36" x14ac:dyDescent="0.2">
      <c r="A85" s="2">
        <v>88147</v>
      </c>
      <c r="B85" s="2">
        <v>4.63</v>
      </c>
      <c r="C85" s="2">
        <v>4.22</v>
      </c>
      <c r="D85" s="2">
        <v>4.67</v>
      </c>
      <c r="E85" s="2">
        <v>2.88</v>
      </c>
      <c r="F85" s="2">
        <v>2.5</v>
      </c>
      <c r="G85" s="2">
        <v>4.2</v>
      </c>
      <c r="H85" s="2">
        <v>3.87777777777778</v>
      </c>
      <c r="I85" s="2">
        <v>3.2666666666666599</v>
      </c>
      <c r="J85" s="2">
        <v>2.7875000000000001</v>
      </c>
      <c r="K85" s="2">
        <v>2.67</v>
      </c>
      <c r="L85" s="2">
        <v>2.1749999999999998</v>
      </c>
      <c r="M85" s="2">
        <v>3.56666666666667</v>
      </c>
      <c r="N85" s="2">
        <v>4.5</v>
      </c>
      <c r="O85" s="2">
        <v>3.65</v>
      </c>
      <c r="P85" s="2">
        <v>2.0499999999999998</v>
      </c>
      <c r="Q85" s="2">
        <v>4.7374999999999998</v>
      </c>
      <c r="R85" s="2">
        <v>3.6111111111111098</v>
      </c>
      <c r="S85" s="2">
        <v>3.0444444444444398</v>
      </c>
      <c r="T85" s="2">
        <v>3.05</v>
      </c>
      <c r="U85" s="2">
        <v>2.54</v>
      </c>
      <c r="V85" s="2">
        <v>3.2124999999999999</v>
      </c>
      <c r="W85" s="2">
        <v>3.9</v>
      </c>
      <c r="X85" s="2">
        <v>3.7666666666666702</v>
      </c>
      <c r="Y85" s="2">
        <v>4.0875000000000004</v>
      </c>
      <c r="Z85" s="2">
        <v>1.97</v>
      </c>
      <c r="AA85" s="27">
        <v>4.875</v>
      </c>
      <c r="AB85" s="27">
        <v>3.9111111111111101</v>
      </c>
      <c r="AC85" s="27">
        <v>3.0222222222222199</v>
      </c>
      <c r="AD85" s="27">
        <v>2.5249999999999999</v>
      </c>
      <c r="AE85" s="27">
        <v>2.56</v>
      </c>
      <c r="AF85" s="27">
        <v>2.8125</v>
      </c>
      <c r="AG85" s="27">
        <v>3.7111111111111099</v>
      </c>
      <c r="AH85" s="27">
        <v>4.2111111111111104</v>
      </c>
      <c r="AI85" s="27">
        <v>3.75</v>
      </c>
      <c r="AJ85" s="27">
        <v>1.98</v>
      </c>
    </row>
    <row r="86" spans="1:36" x14ac:dyDescent="0.2">
      <c r="A86" s="2">
        <v>89703</v>
      </c>
      <c r="B86" s="2">
        <v>2.13</v>
      </c>
      <c r="C86" s="2">
        <v>2.89</v>
      </c>
      <c r="D86" s="2">
        <v>2.2200000000000002</v>
      </c>
      <c r="E86" s="2">
        <v>4.38</v>
      </c>
      <c r="F86" s="2">
        <v>3.2</v>
      </c>
      <c r="G86" s="2">
        <v>3.0750000000000002</v>
      </c>
      <c r="H86" s="2">
        <v>4.87777777777778</v>
      </c>
      <c r="I86" s="2">
        <v>3.81111111111111</v>
      </c>
      <c r="J86" s="2">
        <v>1.8625</v>
      </c>
      <c r="K86" s="2">
        <v>2.84</v>
      </c>
      <c r="L86" s="2">
        <v>2.9125000000000001</v>
      </c>
      <c r="M86" s="2">
        <v>4.3777777777777702</v>
      </c>
      <c r="N86" s="2">
        <v>2.4888888888888898</v>
      </c>
      <c r="O86" s="2">
        <v>1.3125</v>
      </c>
      <c r="P86" s="2">
        <v>2.33</v>
      </c>
      <c r="Q86" s="2">
        <v>3.0375000000000001</v>
      </c>
      <c r="R86" s="2">
        <v>4.1111111111111098</v>
      </c>
      <c r="S86" s="2">
        <v>3</v>
      </c>
      <c r="T86" s="2">
        <v>3.7124999999999999</v>
      </c>
      <c r="U86" s="2">
        <v>3.07</v>
      </c>
      <c r="V86" s="2">
        <v>3.4375</v>
      </c>
      <c r="W86" s="2">
        <v>4.5333333333333403</v>
      </c>
      <c r="X86" s="2">
        <v>3.05555555555555</v>
      </c>
      <c r="Y86" s="2">
        <v>1.875</v>
      </c>
      <c r="Z86" s="2">
        <v>2.92</v>
      </c>
      <c r="AA86" s="27">
        <v>3.5249999999999999</v>
      </c>
      <c r="AB86" s="27">
        <v>4.8666666666666698</v>
      </c>
      <c r="AC86" s="27">
        <v>3.4888888888888898</v>
      </c>
      <c r="AD86" s="27">
        <v>1.925</v>
      </c>
      <c r="AE86" s="27">
        <v>2.92</v>
      </c>
      <c r="AF86" s="27">
        <v>3.3</v>
      </c>
      <c r="AG86" s="27">
        <v>3.8444444444444499</v>
      </c>
      <c r="AH86" s="27">
        <v>2.2999999999999998</v>
      </c>
      <c r="AI86" s="27">
        <v>1.925</v>
      </c>
      <c r="AJ86" s="27">
        <v>2.2799999999999998</v>
      </c>
    </row>
    <row r="87" spans="1:36" x14ac:dyDescent="0.2">
      <c r="A87" s="2">
        <v>91115</v>
      </c>
      <c r="B87" s="2">
        <v>3.88</v>
      </c>
      <c r="C87" s="2">
        <v>4.33</v>
      </c>
      <c r="D87" s="2">
        <v>4</v>
      </c>
      <c r="E87" s="2">
        <v>2.25</v>
      </c>
      <c r="F87" s="2">
        <v>4</v>
      </c>
      <c r="G87" s="2">
        <v>4.75</v>
      </c>
      <c r="H87" s="2">
        <v>4.6555555555555603</v>
      </c>
      <c r="I87" s="2">
        <v>3.4222222222222198</v>
      </c>
      <c r="J87" s="2">
        <v>1.35</v>
      </c>
      <c r="K87" s="2">
        <v>3.38</v>
      </c>
      <c r="L87" s="2">
        <v>3.1</v>
      </c>
      <c r="M87" s="2">
        <v>4.1666666666666696</v>
      </c>
      <c r="N87" s="2">
        <v>2.3555555555555499</v>
      </c>
      <c r="O87" s="2">
        <v>2.0874999999999999</v>
      </c>
      <c r="P87" s="2">
        <v>3.18</v>
      </c>
      <c r="Q87" s="2">
        <v>4.6500000000000004</v>
      </c>
      <c r="R87" s="2">
        <v>4.1666666666666696</v>
      </c>
      <c r="S87" s="2">
        <v>3.3555555555555601</v>
      </c>
      <c r="T87" s="2">
        <v>1.6125</v>
      </c>
      <c r="U87" s="2">
        <v>3.41</v>
      </c>
      <c r="V87" s="2">
        <v>3.55</v>
      </c>
      <c r="W87" s="2">
        <v>3.2222222222222201</v>
      </c>
      <c r="X87" s="2">
        <v>2.1111111111111098</v>
      </c>
      <c r="Y87" s="2">
        <v>3.7875000000000001</v>
      </c>
      <c r="Z87" s="2">
        <v>2.56</v>
      </c>
      <c r="AA87" s="27">
        <v>4.7249999999999996</v>
      </c>
      <c r="AB87" s="27">
        <v>4.4777777777777796</v>
      </c>
      <c r="AC87" s="27">
        <v>3.1</v>
      </c>
      <c r="AD87" s="27">
        <v>1.5375000000000001</v>
      </c>
      <c r="AE87" s="27">
        <v>3.33</v>
      </c>
      <c r="AF87" s="27">
        <v>3.9249999999999998</v>
      </c>
      <c r="AG87" s="27">
        <v>4.4444444444444402</v>
      </c>
      <c r="AH87" s="27">
        <v>2.2666666666666599</v>
      </c>
      <c r="AI87" s="27">
        <v>1.8875</v>
      </c>
      <c r="AJ87" s="27">
        <v>3.22</v>
      </c>
    </row>
    <row r="88" spans="1:36" x14ac:dyDescent="0.2">
      <c r="A88" s="2">
        <v>91981</v>
      </c>
      <c r="B88" s="2">
        <v>2.5</v>
      </c>
      <c r="C88" s="2">
        <v>4.4400000000000004</v>
      </c>
      <c r="D88" s="2">
        <v>4.5599999999999996</v>
      </c>
      <c r="E88" s="2">
        <v>1.38</v>
      </c>
      <c r="F88" s="2">
        <v>4</v>
      </c>
      <c r="G88" s="2">
        <v>3.4</v>
      </c>
      <c r="H88" s="2">
        <v>4.4888888888888898</v>
      </c>
      <c r="I88" s="2">
        <v>3.9888888888888898</v>
      </c>
      <c r="J88" s="2">
        <v>1.7875000000000001</v>
      </c>
      <c r="K88" s="2">
        <v>3.33</v>
      </c>
      <c r="L88" s="2">
        <v>4</v>
      </c>
      <c r="M88" s="2">
        <v>4.7</v>
      </c>
      <c r="N88" s="2">
        <v>4.63333333333334</v>
      </c>
      <c r="O88" s="2">
        <v>1.4375</v>
      </c>
      <c r="P88" s="2">
        <v>3.4</v>
      </c>
      <c r="Q88" s="2">
        <v>3.4750000000000001</v>
      </c>
      <c r="R88" s="2">
        <v>4.2666666666666604</v>
      </c>
      <c r="S88" s="2">
        <v>3.6666666666666701</v>
      </c>
      <c r="T88" s="2">
        <v>3</v>
      </c>
      <c r="U88" s="2">
        <v>3.45</v>
      </c>
      <c r="V88" s="2">
        <v>3.5625</v>
      </c>
      <c r="W88" s="2">
        <v>3.8</v>
      </c>
      <c r="X88" s="2">
        <v>3.2777777777777799</v>
      </c>
      <c r="Y88" s="2">
        <v>3.9874999999999998</v>
      </c>
      <c r="Z88" s="2">
        <v>3.29</v>
      </c>
      <c r="AA88" s="27">
        <v>3.8250000000000002</v>
      </c>
      <c r="AB88" s="27">
        <v>4.5</v>
      </c>
      <c r="AC88" s="27">
        <v>4.06666666666667</v>
      </c>
      <c r="AD88" s="27">
        <v>1.875</v>
      </c>
      <c r="AE88" s="27">
        <v>3.47</v>
      </c>
      <c r="AF88" s="27">
        <v>3.9249999999999998</v>
      </c>
      <c r="AG88" s="27">
        <v>4.6666666666666696</v>
      </c>
      <c r="AH88" s="27">
        <v>4.0999999999999996</v>
      </c>
      <c r="AI88" s="27">
        <v>1.875</v>
      </c>
      <c r="AJ88" s="27">
        <v>3.1</v>
      </c>
    </row>
    <row r="89" spans="1:36" x14ac:dyDescent="0.2">
      <c r="A89" s="2">
        <v>92241</v>
      </c>
      <c r="B89" s="2">
        <v>2.13</v>
      </c>
      <c r="C89" s="2">
        <v>2.89</v>
      </c>
      <c r="D89" s="2">
        <v>4.5599999999999996</v>
      </c>
      <c r="E89" s="2">
        <v>4.88</v>
      </c>
      <c r="F89" s="2">
        <v>4.5999999999999996</v>
      </c>
      <c r="G89" s="2">
        <v>1.8374999999999999</v>
      </c>
      <c r="H89" s="2">
        <v>3.4888888888888898</v>
      </c>
      <c r="I89" s="2">
        <v>3.7</v>
      </c>
      <c r="J89" s="2">
        <v>4.3</v>
      </c>
      <c r="K89" s="2">
        <v>3.5</v>
      </c>
      <c r="L89" s="2">
        <v>2.1</v>
      </c>
      <c r="M89" s="2">
        <v>2.93333333333333</v>
      </c>
      <c r="N89" s="2">
        <v>2.1777777777777798</v>
      </c>
      <c r="O89" s="2">
        <v>3.6875</v>
      </c>
      <c r="P89" s="2">
        <v>4.1100000000000003</v>
      </c>
      <c r="Q89" s="2">
        <v>1.925</v>
      </c>
      <c r="R89" s="2">
        <v>3.4666666666666601</v>
      </c>
      <c r="S89" s="2">
        <v>3.1666666666666701</v>
      </c>
      <c r="T89" s="2">
        <v>4.0875000000000004</v>
      </c>
      <c r="U89" s="2">
        <v>3.62</v>
      </c>
      <c r="V89" s="2">
        <v>2.1124999999999998</v>
      </c>
      <c r="W89" s="2">
        <v>2.9888888888888898</v>
      </c>
      <c r="X89" s="2">
        <v>2.1555555555555501</v>
      </c>
      <c r="Y89" s="2">
        <v>3.0874999999999999</v>
      </c>
      <c r="Z89" s="2">
        <v>4.21</v>
      </c>
      <c r="AA89" s="27">
        <v>1.9624999999999999</v>
      </c>
      <c r="AB89" s="27">
        <v>3.31111111111111</v>
      </c>
      <c r="AC89" s="27">
        <v>3.4666666666666699</v>
      </c>
      <c r="AD89" s="27">
        <v>4.2249999999999996</v>
      </c>
      <c r="AE89" s="27">
        <v>4.2300000000000004</v>
      </c>
      <c r="AF89" s="27">
        <v>2.9750000000000001</v>
      </c>
      <c r="AG89" s="27">
        <v>3.1444444444444399</v>
      </c>
      <c r="AH89" s="27">
        <v>2.1111111111111098</v>
      </c>
      <c r="AI89" s="27">
        <v>3.8875000000000002</v>
      </c>
      <c r="AJ89" s="27">
        <v>4.1399999999999997</v>
      </c>
    </row>
    <row r="90" spans="1:36" x14ac:dyDescent="0.2">
      <c r="A90" s="2">
        <v>94161</v>
      </c>
      <c r="B90" s="2">
        <v>1.63</v>
      </c>
      <c r="C90" s="2">
        <v>3.56</v>
      </c>
      <c r="D90" s="2">
        <v>2.89</v>
      </c>
      <c r="E90" s="2">
        <v>3.13</v>
      </c>
      <c r="F90" s="2">
        <v>3.3</v>
      </c>
      <c r="G90" s="2">
        <v>2.125</v>
      </c>
      <c r="H90" s="2">
        <v>3.5222222222222199</v>
      </c>
      <c r="I90" s="2">
        <v>2.1111111111111098</v>
      </c>
      <c r="J90" s="2">
        <v>2</v>
      </c>
      <c r="K90" s="2">
        <v>2.67</v>
      </c>
      <c r="L90" s="2">
        <v>2.1124999999999998</v>
      </c>
      <c r="M90" s="2">
        <v>3.2777777777777799</v>
      </c>
      <c r="N90" s="2">
        <v>2.24444444444444</v>
      </c>
      <c r="O90" s="2">
        <v>2</v>
      </c>
      <c r="P90" s="2">
        <v>2.41</v>
      </c>
      <c r="Q90" s="2">
        <v>2.8875000000000002</v>
      </c>
      <c r="R90" s="2">
        <v>3.12222222222222</v>
      </c>
      <c r="S90" s="2">
        <v>2.0888888888888899</v>
      </c>
      <c r="T90" s="2">
        <v>2.8</v>
      </c>
      <c r="U90" s="2">
        <v>2.23</v>
      </c>
      <c r="V90" s="2">
        <v>3</v>
      </c>
      <c r="W90" s="2">
        <v>2.6</v>
      </c>
      <c r="X90" s="2">
        <v>2.1111111111111098</v>
      </c>
      <c r="Y90" s="2">
        <v>1.9875</v>
      </c>
      <c r="Z90" s="2">
        <v>1.77</v>
      </c>
      <c r="AA90" s="27">
        <v>2.625</v>
      </c>
      <c r="AB90" s="27">
        <v>3.87777777777778</v>
      </c>
      <c r="AC90" s="27">
        <v>2.1444444444444399</v>
      </c>
      <c r="AD90" s="27">
        <v>2.0375000000000001</v>
      </c>
      <c r="AE90" s="27">
        <v>2.46</v>
      </c>
      <c r="AF90" s="27">
        <v>2.9</v>
      </c>
      <c r="AG90" s="27">
        <v>3.5555555555555598</v>
      </c>
      <c r="AH90" s="27">
        <v>2.12222222222222</v>
      </c>
      <c r="AI90" s="27">
        <v>1.9750000000000001</v>
      </c>
      <c r="AJ90" s="27">
        <v>2.5099999999999998</v>
      </c>
    </row>
    <row r="91" spans="1:36" x14ac:dyDescent="0.2">
      <c r="A91" s="2">
        <v>94659</v>
      </c>
      <c r="B91" s="2">
        <v>1.5</v>
      </c>
      <c r="C91" s="2">
        <v>4.5599999999999996</v>
      </c>
      <c r="D91" s="2">
        <v>3.78</v>
      </c>
      <c r="E91" s="2">
        <v>4.5</v>
      </c>
      <c r="F91" s="2">
        <v>3.8</v>
      </c>
      <c r="G91" s="2">
        <v>2.15</v>
      </c>
      <c r="H91" s="2">
        <v>4.0999999999999996</v>
      </c>
      <c r="I91" s="2">
        <v>2.55555555555555</v>
      </c>
      <c r="J91" s="2">
        <v>4.0125000000000002</v>
      </c>
      <c r="K91" s="2">
        <v>3.63</v>
      </c>
      <c r="L91" s="2">
        <v>2.65</v>
      </c>
      <c r="M91" s="2">
        <v>3.9666666666666699</v>
      </c>
      <c r="N91" s="2">
        <v>2.36666666666666</v>
      </c>
      <c r="O91" s="2">
        <v>3.125</v>
      </c>
      <c r="P91" s="2">
        <v>3.84</v>
      </c>
      <c r="Q91" s="2">
        <v>3.15</v>
      </c>
      <c r="R91" s="2">
        <v>4.4222222222222198</v>
      </c>
      <c r="S91" s="2">
        <v>2.12222222222222</v>
      </c>
      <c r="T91" s="2">
        <v>4.0750000000000002</v>
      </c>
      <c r="U91" s="2">
        <v>4.1100000000000003</v>
      </c>
      <c r="V91" s="2">
        <v>3.8875000000000002</v>
      </c>
      <c r="W91" s="2">
        <v>3.5888888888888899</v>
      </c>
      <c r="X91" s="2">
        <v>2.2222222222222201</v>
      </c>
      <c r="Y91" s="2">
        <v>3.8125</v>
      </c>
      <c r="Z91" s="2">
        <v>3.36</v>
      </c>
      <c r="AA91" s="27">
        <v>2.1875</v>
      </c>
      <c r="AB91" s="27">
        <v>4.3555555555555596</v>
      </c>
      <c r="AC91" s="27">
        <v>2.1777777777777798</v>
      </c>
      <c r="AD91" s="27">
        <v>4.1124999999999998</v>
      </c>
      <c r="AE91" s="27">
        <v>3.63</v>
      </c>
      <c r="AF91" s="27">
        <v>3.45</v>
      </c>
      <c r="AG91" s="27">
        <v>3.6555555555555599</v>
      </c>
      <c r="AH91" s="27">
        <v>2.2000000000000002</v>
      </c>
      <c r="AI91" s="27">
        <v>3.7875000000000001</v>
      </c>
      <c r="AJ91" s="27">
        <v>3.68</v>
      </c>
    </row>
    <row r="92" spans="1:36" x14ac:dyDescent="0.2">
      <c r="A92" s="2">
        <v>95066</v>
      </c>
      <c r="B92" s="2">
        <v>3.38</v>
      </c>
      <c r="C92" s="2">
        <v>3.56</v>
      </c>
      <c r="D92" s="2">
        <v>3.89</v>
      </c>
      <c r="E92" s="2">
        <v>2.88</v>
      </c>
      <c r="F92" s="2">
        <v>3.7</v>
      </c>
      <c r="G92" s="2">
        <v>2.7875000000000001</v>
      </c>
      <c r="H92" s="2">
        <v>4.8666666666666698</v>
      </c>
      <c r="I92" s="2">
        <v>3.37777777777778</v>
      </c>
      <c r="J92" s="2">
        <v>2.1375000000000002</v>
      </c>
      <c r="K92" s="2">
        <v>4.41</v>
      </c>
      <c r="L92" s="2">
        <v>3.65</v>
      </c>
      <c r="M92" s="2">
        <v>4.4000000000000004</v>
      </c>
      <c r="N92" s="2">
        <v>2.1</v>
      </c>
      <c r="O92" s="2">
        <v>1.875</v>
      </c>
      <c r="P92" s="2">
        <v>4.22</v>
      </c>
      <c r="Q92" s="2">
        <v>2.0625</v>
      </c>
      <c r="R92" s="2">
        <v>4.81111111111111</v>
      </c>
      <c r="S92" s="2">
        <v>3.56666666666667</v>
      </c>
      <c r="T92" s="2">
        <v>1.7124999999999999</v>
      </c>
      <c r="U92" s="2">
        <v>4.28</v>
      </c>
      <c r="V92" s="2">
        <v>3.3250000000000002</v>
      </c>
      <c r="W92" s="2">
        <v>3.9111111111111101</v>
      </c>
      <c r="X92" s="2">
        <v>2.0111111111111102</v>
      </c>
      <c r="Y92" s="2">
        <v>3.375</v>
      </c>
      <c r="Z92" s="2">
        <v>4.3</v>
      </c>
      <c r="AA92" s="27">
        <v>2.8875000000000002</v>
      </c>
      <c r="AB92" s="27">
        <v>4.9555555555555602</v>
      </c>
      <c r="AC92" s="27">
        <v>3.37777777777778</v>
      </c>
      <c r="AD92" s="27">
        <v>1.9375</v>
      </c>
      <c r="AE92" s="27">
        <v>4.3600000000000003</v>
      </c>
      <c r="AF92" s="27">
        <v>4.25</v>
      </c>
      <c r="AG92" s="27">
        <v>4.2666666666666604</v>
      </c>
      <c r="AH92" s="27">
        <v>2</v>
      </c>
      <c r="AI92" s="27">
        <v>1.9</v>
      </c>
      <c r="AJ92" s="27">
        <v>4.16</v>
      </c>
    </row>
    <row r="93" spans="1:36" x14ac:dyDescent="0.2">
      <c r="A93" s="2">
        <v>95835</v>
      </c>
      <c r="B93" s="2">
        <v>2</v>
      </c>
      <c r="C93" s="2">
        <v>3.33</v>
      </c>
      <c r="D93" s="2">
        <v>4.5599999999999996</v>
      </c>
      <c r="E93" s="2">
        <v>2.25</v>
      </c>
      <c r="F93" s="2">
        <v>3.2</v>
      </c>
      <c r="G93" s="2">
        <v>2.4750000000000001</v>
      </c>
      <c r="H93" s="2">
        <v>3.5888888888888899</v>
      </c>
      <c r="I93" s="2">
        <v>2.4888888888888898</v>
      </c>
      <c r="J93" s="2">
        <v>2</v>
      </c>
      <c r="K93" s="2">
        <v>3.17</v>
      </c>
      <c r="L93" s="2">
        <v>3.2</v>
      </c>
      <c r="M93" s="2">
        <v>2.68888888888889</v>
      </c>
      <c r="N93" s="2">
        <v>1.8555555555555601</v>
      </c>
      <c r="O93" s="2">
        <v>1.675</v>
      </c>
      <c r="P93" s="2">
        <v>2.06</v>
      </c>
      <c r="Q93" s="2">
        <v>3.7625000000000002</v>
      </c>
      <c r="R93" s="2">
        <v>3.5222222222222199</v>
      </c>
      <c r="S93" s="2">
        <v>2.9222222222222198</v>
      </c>
      <c r="T93" s="2">
        <v>1.875</v>
      </c>
      <c r="U93" s="2">
        <v>2.87</v>
      </c>
      <c r="V93" s="2">
        <v>4.0750000000000002</v>
      </c>
      <c r="W93" s="2">
        <v>3.4</v>
      </c>
      <c r="X93" s="2">
        <v>2.9777777777777801</v>
      </c>
      <c r="Y93" s="2">
        <v>2.4750000000000001</v>
      </c>
      <c r="Z93" s="2">
        <v>3.28</v>
      </c>
      <c r="AA93" s="27">
        <v>2.8</v>
      </c>
      <c r="AB93" s="27">
        <v>3.7666666666666702</v>
      </c>
      <c r="AC93" s="27">
        <v>2.4555555555555499</v>
      </c>
      <c r="AD93" s="27">
        <v>1.925</v>
      </c>
      <c r="AE93" s="27">
        <v>3.26</v>
      </c>
      <c r="AF93" s="27">
        <v>3.4624999999999999</v>
      </c>
      <c r="AG93" s="27">
        <v>3.1777777777777798</v>
      </c>
      <c r="AH93" s="27">
        <v>2.0222222222222199</v>
      </c>
      <c r="AI93" s="27">
        <v>2.0625</v>
      </c>
      <c r="AJ93" s="27">
        <v>2.4900000000000002</v>
      </c>
    </row>
    <row r="94" spans="1:36" x14ac:dyDescent="0.2">
      <c r="A94" s="2">
        <v>98498</v>
      </c>
      <c r="B94" s="2">
        <v>1.75</v>
      </c>
      <c r="C94" s="2">
        <v>3.33</v>
      </c>
      <c r="D94" s="2">
        <v>2.56</v>
      </c>
      <c r="E94" s="2">
        <v>3.75</v>
      </c>
      <c r="F94" s="2">
        <v>2.8</v>
      </c>
      <c r="G94" s="2">
        <v>3.4874999999999998</v>
      </c>
      <c r="H94" s="2">
        <v>4.87777777777778</v>
      </c>
      <c r="I94" s="2">
        <v>3.3444444444444401</v>
      </c>
      <c r="J94" s="2">
        <v>2.7374999999999998</v>
      </c>
      <c r="K94" s="2">
        <v>3.6</v>
      </c>
      <c r="L94" s="2">
        <v>4.25</v>
      </c>
      <c r="M94" s="2">
        <v>4.0333333333333297</v>
      </c>
      <c r="N94" s="2">
        <v>2</v>
      </c>
      <c r="O94" s="2">
        <v>2.5125000000000002</v>
      </c>
      <c r="P94" s="2">
        <v>3.32</v>
      </c>
      <c r="Q94" s="2">
        <v>3.4750000000000001</v>
      </c>
      <c r="R94" s="2">
        <v>3.9888888888888898</v>
      </c>
      <c r="S94" s="2">
        <v>2.31111111111111</v>
      </c>
      <c r="T94" s="2">
        <v>3.8624999999999998</v>
      </c>
      <c r="U94" s="2">
        <v>3.03</v>
      </c>
      <c r="V94" s="2">
        <v>3.5874999999999999</v>
      </c>
      <c r="W94" s="2">
        <v>3.31111111111111</v>
      </c>
      <c r="X94" s="2">
        <v>2.1111111111111098</v>
      </c>
      <c r="Y94" s="2">
        <v>2.9125000000000001</v>
      </c>
      <c r="Z94" s="2">
        <v>3.12</v>
      </c>
      <c r="AA94" s="27">
        <v>3.6875</v>
      </c>
      <c r="AB94" s="27">
        <v>4.8888888888888902</v>
      </c>
      <c r="AC94" s="27">
        <v>2.8333333333333299</v>
      </c>
      <c r="AD94" s="27">
        <v>2.7374999999999998</v>
      </c>
      <c r="AE94" s="27">
        <v>3.35</v>
      </c>
      <c r="AF94" s="27">
        <v>4.4625000000000004</v>
      </c>
      <c r="AG94" s="27">
        <v>4.2666666666666604</v>
      </c>
      <c r="AH94" s="27">
        <v>2</v>
      </c>
      <c r="AI94" s="27">
        <v>2.875</v>
      </c>
      <c r="AJ94" s="27">
        <v>3.12</v>
      </c>
    </row>
    <row r="95" spans="1:36" x14ac:dyDescent="0.2">
      <c r="A95" s="2">
        <v>98860</v>
      </c>
      <c r="B95" s="2">
        <v>3.25</v>
      </c>
      <c r="C95" s="2">
        <v>4</v>
      </c>
      <c r="D95" s="2">
        <v>4.1100000000000003</v>
      </c>
      <c r="E95" s="2">
        <v>2.38</v>
      </c>
      <c r="F95" s="2">
        <v>4</v>
      </c>
      <c r="G95" s="2">
        <v>3.875</v>
      </c>
      <c r="H95" s="2">
        <v>4.93333333333333</v>
      </c>
      <c r="I95" s="2">
        <v>3.1666666666666701</v>
      </c>
      <c r="J95" s="2">
        <v>1.7124999999999999</v>
      </c>
      <c r="K95" s="2">
        <v>3.82</v>
      </c>
      <c r="L95" s="2">
        <v>3.9624999999999999</v>
      </c>
      <c r="M95" s="2">
        <v>4.5999999999999996</v>
      </c>
      <c r="N95" s="2">
        <v>4.0777777777777802</v>
      </c>
      <c r="O95" s="2">
        <v>2.7875000000000001</v>
      </c>
      <c r="P95" s="2">
        <v>3.67</v>
      </c>
      <c r="Q95" s="2">
        <v>3.8624999999999998</v>
      </c>
      <c r="R95" s="2">
        <v>4.31111111111111</v>
      </c>
      <c r="S95" s="2">
        <v>2.7888888888888901</v>
      </c>
      <c r="T95" s="2">
        <v>1.875</v>
      </c>
      <c r="U95" s="2">
        <v>4.13</v>
      </c>
      <c r="V95" s="2">
        <v>3.3374999999999999</v>
      </c>
      <c r="W95" s="2">
        <v>4.0999999999999996</v>
      </c>
      <c r="X95" s="2">
        <v>3.1333333333333302</v>
      </c>
      <c r="Y95" s="2">
        <v>4.2125000000000004</v>
      </c>
      <c r="Z95" s="2">
        <v>3.24</v>
      </c>
      <c r="AA95" s="27">
        <v>4.2</v>
      </c>
      <c r="AB95" s="27">
        <v>4.8222222222222202</v>
      </c>
      <c r="AC95" s="27">
        <v>2.5</v>
      </c>
      <c r="AD95" s="27">
        <v>1.7124999999999999</v>
      </c>
      <c r="AE95" s="27">
        <v>3.84</v>
      </c>
      <c r="AF95" s="27">
        <v>4.6124999999999998</v>
      </c>
      <c r="AG95" s="27">
        <v>4.5777777777777802</v>
      </c>
      <c r="AH95" s="27">
        <v>3.3666666666666698</v>
      </c>
      <c r="AI95" s="27">
        <v>3.0625</v>
      </c>
      <c r="AJ95" s="27">
        <v>3.69</v>
      </c>
    </row>
    <row r="96" spans="1:36" x14ac:dyDescent="0.2">
      <c r="A96" s="2">
        <v>99496</v>
      </c>
      <c r="B96" s="2">
        <v>4.5</v>
      </c>
      <c r="C96" s="2">
        <v>3.78</v>
      </c>
      <c r="D96" s="2">
        <v>5</v>
      </c>
      <c r="E96" s="2">
        <v>1.38</v>
      </c>
      <c r="F96" s="2">
        <v>3.4</v>
      </c>
      <c r="G96" s="2">
        <v>3.2749999999999999</v>
      </c>
      <c r="H96" s="2">
        <v>3.63333333333334</v>
      </c>
      <c r="I96" s="2">
        <v>4.1111111111111098</v>
      </c>
      <c r="J96" s="2">
        <v>1.6125</v>
      </c>
      <c r="K96" s="2">
        <v>2.61</v>
      </c>
      <c r="L96" s="2">
        <v>2.3125</v>
      </c>
      <c r="M96" s="2">
        <v>4.7888888888888896</v>
      </c>
      <c r="N96" s="2">
        <v>3.7</v>
      </c>
      <c r="O96" s="2">
        <v>3.1749999999999998</v>
      </c>
      <c r="P96" s="2">
        <v>3.5</v>
      </c>
      <c r="Q96" s="2">
        <v>3.85</v>
      </c>
      <c r="R96" s="2">
        <v>3.9777777777777801</v>
      </c>
      <c r="S96" s="2">
        <v>4.1666666666666696</v>
      </c>
      <c r="T96" s="2">
        <v>1.875</v>
      </c>
      <c r="U96" s="2">
        <v>2.5099999999999998</v>
      </c>
      <c r="V96" s="2">
        <v>3.3</v>
      </c>
      <c r="W96" s="2">
        <v>4.44444444444445</v>
      </c>
      <c r="X96" s="2">
        <v>3.87777777777778</v>
      </c>
      <c r="Y96" s="2">
        <v>3.1375000000000002</v>
      </c>
      <c r="Z96" s="2">
        <v>3.42</v>
      </c>
      <c r="AA96" s="27">
        <v>3.6375000000000002</v>
      </c>
      <c r="AB96" s="27">
        <v>4</v>
      </c>
      <c r="AC96" s="27">
        <v>4.0333333333333297</v>
      </c>
      <c r="AD96" s="27">
        <v>1.425</v>
      </c>
      <c r="AE96" s="27">
        <v>2.72</v>
      </c>
      <c r="AF96" s="27">
        <v>2.75</v>
      </c>
      <c r="AG96" s="27">
        <v>4.8</v>
      </c>
      <c r="AH96" s="27">
        <v>3.2111111111111099</v>
      </c>
      <c r="AI96" s="27">
        <v>3.6375000000000002</v>
      </c>
      <c r="AJ96" s="27">
        <v>3.33</v>
      </c>
    </row>
  </sheetData>
  <autoFilter ref="A1:Z96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topLeftCell="A29" workbookViewId="0">
      <selection activeCell="C75" sqref="C75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20" customWidth="1"/>
    <col min="4" max="7" width="9" customWidth="1"/>
    <col min="8" max="8" width="13" customWidth="1"/>
    <col min="9" max="9" width="9" customWidth="1"/>
    <col min="10" max="10" width="13" customWidth="1"/>
    <col min="11" max="14" width="10" customWidth="1"/>
    <col min="15" max="15" width="8" customWidth="1"/>
  </cols>
  <sheetData>
    <row r="1" spans="1:10" x14ac:dyDescent="0.2">
      <c r="A1" s="7" t="s">
        <v>0</v>
      </c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s="2" t="s">
        <v>11</v>
      </c>
      <c r="B3" s="2" t="s">
        <v>12</v>
      </c>
      <c r="C3" s="2" t="s">
        <v>13</v>
      </c>
      <c r="D3" s="8">
        <f>COUNT('BFI Scores'!$G$2:$G$96)</f>
        <v>95</v>
      </c>
      <c r="E3" s="9">
        <f>CORREL('BFI Scores'!$G$2:$G$96,'BFI Scores'!$B$2:$B$96)</f>
        <v>0.46749576506786372</v>
      </c>
      <c r="F3" s="10">
        <f>FISHERINV(FISHER(E3)-NORMSINV(0.975)/SQRT(D3-3))</f>
        <v>0.29361755152491925</v>
      </c>
      <c r="G3" s="10">
        <f>FISHERINV(FISHER(E3)+NORMSINV(0.975)/SQRT(D3-3))</f>
        <v>0.61142957060057535</v>
      </c>
      <c r="H3" s="11">
        <f>TDIST(ABS(E3)*SQRT((D3-2)/(1-E3^2)),D3-2,2)</f>
        <v>1.7845940018132901E-6</v>
      </c>
      <c r="I3" s="12">
        <v>7.1400000000000002E-6</v>
      </c>
      <c r="J3" s="4" t="s">
        <v>14</v>
      </c>
    </row>
    <row r="4" spans="1:10" x14ac:dyDescent="0.2">
      <c r="A4" s="2" t="s">
        <v>11</v>
      </c>
      <c r="B4" s="2" t="s">
        <v>12</v>
      </c>
      <c r="C4" s="2" t="s">
        <v>15</v>
      </c>
      <c r="D4" s="8">
        <f>COUNT('BFI Scores'!$H$2:$H$96)</f>
        <v>95</v>
      </c>
      <c r="E4" s="9">
        <f>CORREL('BFI Scores'!$H$2:$H$96,'BFI Scores'!$C$2:$C$96)</f>
        <v>0.35085724467664375</v>
      </c>
      <c r="F4" s="10">
        <f>FISHERINV(FISHER(E4)-NORMSINV(0.975)/SQRT(D4-3))</f>
        <v>0.16067609869276936</v>
      </c>
      <c r="G4" s="10">
        <f>FISHERINV(FISHER(E4)+NORMSINV(0.975)/SQRT(D4-3))</f>
        <v>0.51591821725170595</v>
      </c>
      <c r="H4" s="11">
        <f>TDIST(ABS(E4)*SQRT((D4-2)/(1-E4^2)),D4-2,2)</f>
        <v>4.9035364043114628E-4</v>
      </c>
      <c r="I4" s="12">
        <v>9.8070699999999993E-4</v>
      </c>
      <c r="J4" s="4" t="s">
        <v>14</v>
      </c>
    </row>
    <row r="5" spans="1:10" x14ac:dyDescent="0.2">
      <c r="A5" s="2" t="s">
        <v>11</v>
      </c>
      <c r="B5" s="2" t="s">
        <v>12</v>
      </c>
      <c r="C5" s="2" t="s">
        <v>16</v>
      </c>
      <c r="D5" s="8">
        <f>COUNT('BFI Scores'!$I$2:$I$96)</f>
        <v>95</v>
      </c>
      <c r="E5" s="9">
        <f>CORREL('BFI Scores'!$I$2:$I$96,'BFI Scores'!$D$2:$D$96)</f>
        <v>0.14205282051088064</v>
      </c>
      <c r="F5" s="10">
        <f>FISHERINV(FISHER(E5)-NORMSINV(0.975)/SQRT(D5-3))</f>
        <v>-6.1243574546327714E-2</v>
      </c>
      <c r="G5" s="10">
        <f>FISHERINV(FISHER(E5)+NORMSINV(0.975)/SQRT(D5-3))</f>
        <v>0.33403255771179646</v>
      </c>
      <c r="H5" s="11">
        <f>TDIST(ABS(E5)*SQRT((D5-2)/(1-E5^2)),D5-2,2)</f>
        <v>0.16968855487078097</v>
      </c>
      <c r="I5" s="12">
        <v>0.16968855499999999</v>
      </c>
      <c r="J5" s="4" t="s">
        <v>17</v>
      </c>
    </row>
    <row r="6" spans="1:10" x14ac:dyDescent="0.2">
      <c r="A6" s="2" t="s">
        <v>11</v>
      </c>
      <c r="B6" s="2" t="s">
        <v>12</v>
      </c>
      <c r="C6" s="2" t="s">
        <v>18</v>
      </c>
      <c r="D6" s="8">
        <f>COUNT('BFI Scores'!$J$2:$J$96)</f>
        <v>95</v>
      </c>
      <c r="E6" s="9">
        <f>CORREL('BFI Scores'!$J$2:$J$96,'BFI Scores'!$E$2:$E$96)</f>
        <v>0.62768477324494609</v>
      </c>
      <c r="F6" s="10">
        <f>FISHERINV(FISHER(E6)-NORMSINV(0.975)/SQRT(D6-3))</f>
        <v>0.4878585441346312</v>
      </c>
      <c r="G6" s="10">
        <f>FISHERINV(FISHER(E6)+NORMSINV(0.975)/SQRT(D6-3))</f>
        <v>0.73610630153018874</v>
      </c>
      <c r="H6" s="11">
        <f>TDIST(ABS(E6)*SQRT((D6-2)/(1-E6^2)),D6-2,2)</f>
        <v>9.9400234613323686E-12</v>
      </c>
      <c r="I6" s="12">
        <v>4.97E-11</v>
      </c>
      <c r="J6" s="4" t="s">
        <v>14</v>
      </c>
    </row>
    <row r="7" spans="1:10" x14ac:dyDescent="0.2">
      <c r="A7" s="2" t="s">
        <v>11</v>
      </c>
      <c r="B7" s="2" t="s">
        <v>12</v>
      </c>
      <c r="C7" s="2" t="s">
        <v>19</v>
      </c>
      <c r="D7" s="8">
        <f>COUNT('BFI Scores'!$K$2:$K$96)</f>
        <v>95</v>
      </c>
      <c r="E7" s="9">
        <f>CORREL('BFI Scores'!$K$2:$K$96,'BFI Scores'!$F$2:$F$96)</f>
        <v>0.41309847237262348</v>
      </c>
      <c r="F7" s="10">
        <f>FISHERINV(FISHER(E7)-NORMSINV(0.975)/SQRT(D7-3))</f>
        <v>0.23076859126625407</v>
      </c>
      <c r="G7" s="10">
        <f>FISHERINV(FISHER(E7)+NORMSINV(0.975)/SQRT(D7-3))</f>
        <v>0.56740128858360017</v>
      </c>
      <c r="H7" s="11">
        <f>TDIST(ABS(E7)*SQRT((D7-2)/(1-E7^2)),D7-2,2)</f>
        <v>3.1756103381926709E-5</v>
      </c>
      <c r="I7" s="12">
        <v>9.5299999999999999E-5</v>
      </c>
      <c r="J7" s="4" t="s">
        <v>14</v>
      </c>
    </row>
    <row r="8" spans="1:10" x14ac:dyDescent="0.2">
      <c r="A8" s="5" t="s">
        <v>11</v>
      </c>
      <c r="B8" s="5" t="s">
        <v>12</v>
      </c>
      <c r="C8" s="5" t="s">
        <v>20</v>
      </c>
      <c r="E8" s="13">
        <f>AVERAGE(E3:E7)</f>
        <v>0.40023781517459156</v>
      </c>
      <c r="J8" s="2" t="str">
        <f>COUNTIF(J3:J7,"&lt;&gt;ns")&amp;" of 5 sig."</f>
        <v>4 of 5 sig.</v>
      </c>
    </row>
    <row r="9" spans="1:10" x14ac:dyDescent="0.2">
      <c r="C9" s="5" t="s">
        <v>21</v>
      </c>
      <c r="E9" s="24">
        <f>_xlfn.STDEV.S(E3:E7)</f>
        <v>0.17714335951078727</v>
      </c>
    </row>
    <row r="10" spans="1:10" x14ac:dyDescent="0.2">
      <c r="A10" s="2" t="s">
        <v>11</v>
      </c>
      <c r="B10" s="2" t="s">
        <v>22</v>
      </c>
      <c r="C10" s="2" t="s">
        <v>13</v>
      </c>
      <c r="D10" s="8">
        <f>COUNT('BFI Scores'!$L$2:$L$96)</f>
        <v>95</v>
      </c>
      <c r="E10" s="9">
        <f>CORREL('BFI Scores'!$L$2:$L$96,'BFI Scores'!$B$2:$B$96)</f>
        <v>0.43511212821874251</v>
      </c>
      <c r="F10" s="10">
        <f>FISHERINV(FISHER(E10)-NORMSINV(0.975)/SQRT(D10-3))</f>
        <v>0.25602053699286914</v>
      </c>
      <c r="G10" s="10">
        <f>FISHERINV(FISHER(E10)+NORMSINV(0.975)/SQRT(D10-3))</f>
        <v>0.58532569648831756</v>
      </c>
      <c r="H10" s="11">
        <f>TDIST(ABS(E10)*SQRT((D10-2)/(1-E10^2)),D10-2,2)</f>
        <v>1.0509600829695515E-5</v>
      </c>
      <c r="I10" s="12">
        <v>5.2500000000000002E-5</v>
      </c>
      <c r="J10" s="4" t="s">
        <v>14</v>
      </c>
    </row>
    <row r="11" spans="1:10" x14ac:dyDescent="0.2">
      <c r="A11" s="2" t="s">
        <v>11</v>
      </c>
      <c r="B11" s="2" t="s">
        <v>22</v>
      </c>
      <c r="C11" s="2" t="s">
        <v>15</v>
      </c>
      <c r="D11" s="8">
        <f>COUNT('BFI Scores'!$M$2:$M$96)</f>
        <v>95</v>
      </c>
      <c r="E11" s="9">
        <f>CORREL('BFI Scores'!$M$2:$M$96,'BFI Scores'!$C$2:$C$96)</f>
        <v>0.30529728996099548</v>
      </c>
      <c r="F11" s="10">
        <f>FISHERINV(FISHER(E11)-NORMSINV(0.975)/SQRT(D11-3))</f>
        <v>0.11055690890273653</v>
      </c>
      <c r="G11" s="10">
        <f>FISHERINV(FISHER(E11)+NORMSINV(0.975)/SQRT(D11-3))</f>
        <v>0.47746181623635969</v>
      </c>
      <c r="H11" s="11">
        <f>TDIST(ABS(E11)*SQRT((D11-2)/(1-E11^2)),D11-2,2)</f>
        <v>2.6258373779066918E-3</v>
      </c>
      <c r="I11" s="12">
        <v>7.8775119999999997E-3</v>
      </c>
      <c r="J11" s="4" t="s">
        <v>23</v>
      </c>
    </row>
    <row r="12" spans="1:10" x14ac:dyDescent="0.2">
      <c r="A12" s="2" t="s">
        <v>11</v>
      </c>
      <c r="B12" s="2" t="s">
        <v>22</v>
      </c>
      <c r="C12" s="2" t="s">
        <v>16</v>
      </c>
      <c r="D12" s="8">
        <f>COUNT('BFI Scores'!$N$2:$N$96)</f>
        <v>95</v>
      </c>
      <c r="E12" s="9">
        <f>CORREL('BFI Scores'!$N$2:$N$96,'BFI Scores'!$D$2:$D$96)</f>
        <v>0.15206519607612051</v>
      </c>
      <c r="F12" s="10">
        <f>FISHERINV(FISHER(E12)-NORMSINV(0.975)/SQRT(D12-3))</f>
        <v>-5.1042133405619687E-2</v>
      </c>
      <c r="G12" s="10">
        <f>FISHERINV(FISHER(E12)+NORMSINV(0.975)/SQRT(D12-3))</f>
        <v>0.34309319343458827</v>
      </c>
      <c r="H12" s="11">
        <f>TDIST(ABS(E12)*SQRT((D12-2)/(1-E12^2)),D12-2,2)</f>
        <v>0.14126487587161021</v>
      </c>
      <c r="I12" s="12">
        <v>0.15000466000000001</v>
      </c>
      <c r="J12" s="4" t="s">
        <v>17</v>
      </c>
    </row>
    <row r="13" spans="1:10" x14ac:dyDescent="0.2">
      <c r="A13" s="2" t="s">
        <v>11</v>
      </c>
      <c r="B13" s="2" t="s">
        <v>22</v>
      </c>
      <c r="C13" s="2" t="s">
        <v>18</v>
      </c>
      <c r="D13" s="8">
        <f>COUNT('BFI Scores'!$O$2:$O$96)</f>
        <v>95</v>
      </c>
      <c r="E13" s="9">
        <f>CORREL('BFI Scores'!$O$2:$O$96,'BFI Scores'!$E$2:$E$96)</f>
        <v>0.18354489161106244</v>
      </c>
      <c r="F13" s="10">
        <f>FISHERINV(FISHER(E13)-NORMSINV(0.975)/SQRT(D13-3))</f>
        <v>-1.8689479837833776E-2</v>
      </c>
      <c r="G13" s="10">
        <f>FISHERINV(FISHER(E13)+NORMSINV(0.975)/SQRT(D13-3))</f>
        <v>0.37135081850336693</v>
      </c>
      <c r="H13" s="11">
        <f>TDIST(ABS(E13)*SQRT((D13-2)/(1-E13^2)),D13-2,2)</f>
        <v>7.5002329765216424E-2</v>
      </c>
      <c r="I13" s="12">
        <v>0.15000466000000001</v>
      </c>
      <c r="J13" s="4" t="s">
        <v>17</v>
      </c>
    </row>
    <row r="14" spans="1:10" x14ac:dyDescent="0.2">
      <c r="A14" s="2" t="s">
        <v>11</v>
      </c>
      <c r="B14" s="2" t="s">
        <v>22</v>
      </c>
      <c r="C14" s="2" t="s">
        <v>19</v>
      </c>
      <c r="D14" s="8">
        <f>COUNT('BFI Scores'!$P$2:$P$96)</f>
        <v>95</v>
      </c>
      <c r="E14" s="9">
        <f>CORREL('BFI Scores'!$P$2:$P$96,'BFI Scores'!$F$2:$F$96)</f>
        <v>0.38528753531349597</v>
      </c>
      <c r="F14" s="10">
        <f>FISHERINV(FISHER(E14)-NORMSINV(0.975)/SQRT(D14-3))</f>
        <v>0.19921388705188889</v>
      </c>
      <c r="G14" s="10">
        <f>FISHERINV(FISHER(E14)+NORMSINV(0.975)/SQRT(D14-3))</f>
        <v>0.54454549099896732</v>
      </c>
      <c r="H14" s="11">
        <f>TDIST(ABS(E14)*SQRT((D14-2)/(1-E14^2)),D14-2,2)</f>
        <v>1.1546218728736053E-4</v>
      </c>
      <c r="I14" s="12">
        <v>4.6184900000000002E-4</v>
      </c>
      <c r="J14" s="4" t="s">
        <v>14</v>
      </c>
    </row>
    <row r="15" spans="1:10" x14ac:dyDescent="0.2">
      <c r="A15" s="5" t="s">
        <v>11</v>
      </c>
      <c r="B15" s="5" t="s">
        <v>22</v>
      </c>
      <c r="C15" s="5" t="s">
        <v>20</v>
      </c>
      <c r="E15" s="13">
        <f>AVERAGE(E10:E14)</f>
        <v>0.29226140823608338</v>
      </c>
      <c r="J15" s="2" t="str">
        <f>COUNTIF(J10:J14,"&lt;&gt;ns")&amp;" of 5 sig."</f>
        <v>3 of 5 sig.</v>
      </c>
    </row>
    <row r="16" spans="1:10" x14ac:dyDescent="0.2">
      <c r="C16" s="5" t="s">
        <v>21</v>
      </c>
      <c r="E16" s="24">
        <f>_xlfn.STDEV.S(E10:E14)</f>
        <v>0.12319129598110076</v>
      </c>
    </row>
    <row r="17" spans="1:10" x14ac:dyDescent="0.2">
      <c r="A17" s="2" t="s">
        <v>24</v>
      </c>
      <c r="B17" s="2" t="s">
        <v>12</v>
      </c>
      <c r="C17" s="2" t="s">
        <v>13</v>
      </c>
      <c r="D17" s="8">
        <f>COUNT('BFI Scores'!$Q$2:$Q$96)</f>
        <v>95</v>
      </c>
      <c r="E17" s="9">
        <f>CORREL('BFI Scores'!$Q$2:$Q$96,'BFI Scores'!$B$2:$B$96)</f>
        <v>0.44253636898092291</v>
      </c>
      <c r="F17" s="10">
        <f>FISHERINV(FISHER(E17)-NORMSINV(0.975)/SQRT(D17-3))</f>
        <v>0.26459238645873512</v>
      </c>
      <c r="G17" s="10">
        <f>FISHERINV(FISHER(E17)+NORMSINV(0.975)/SQRT(D17-3))</f>
        <v>0.59133788447346425</v>
      </c>
      <c r="H17" s="11">
        <f>TDIST(ABS(E17)*SQRT((D17-2)/(1-E17^2)),D17-2,2)</f>
        <v>7.1110894116644323E-6</v>
      </c>
      <c r="I17" s="12">
        <v>2.1299999999999999E-5</v>
      </c>
      <c r="J17" s="4" t="s">
        <v>14</v>
      </c>
    </row>
    <row r="18" spans="1:10" x14ac:dyDescent="0.2">
      <c r="A18" s="2" t="s">
        <v>24</v>
      </c>
      <c r="B18" s="2" t="s">
        <v>12</v>
      </c>
      <c r="C18" s="2" t="s">
        <v>15</v>
      </c>
      <c r="D18" s="8">
        <f>COUNT('BFI Scores'!$R$2:$R$96)</f>
        <v>95</v>
      </c>
      <c r="E18" s="9">
        <f>CORREL('BFI Scores'!$R$2:$R$96,'BFI Scores'!$C$2:$C$96)</f>
        <v>0.21008992297648582</v>
      </c>
      <c r="F18" s="10">
        <f>FISHERINV(FISHER(E18)-NORMSINV(0.975)/SQRT(D18-3))</f>
        <v>8.9248120780518886E-3</v>
      </c>
      <c r="G18" s="10">
        <f>FISHERINV(FISHER(E18)+NORMSINV(0.975)/SQRT(D18-3))</f>
        <v>0.39491152475593172</v>
      </c>
      <c r="H18" s="11">
        <f>TDIST(ABS(E18)*SQRT((D18-2)/(1-E18^2)),D18-2,2)</f>
        <v>4.1006796244772152E-2</v>
      </c>
      <c r="I18" s="12">
        <v>4.1006795999999998E-2</v>
      </c>
      <c r="J18" s="4" t="s">
        <v>25</v>
      </c>
    </row>
    <row r="19" spans="1:10" x14ac:dyDescent="0.2">
      <c r="A19" s="2" t="s">
        <v>24</v>
      </c>
      <c r="B19" s="2" t="s">
        <v>12</v>
      </c>
      <c r="C19" s="2" t="s">
        <v>16</v>
      </c>
      <c r="D19" s="8">
        <f>COUNT('BFI Scores'!$S$2:$S$96)</f>
        <v>95</v>
      </c>
      <c r="E19" s="9">
        <f>CORREL('BFI Scores'!$S$2:$S$96,'BFI Scores'!$D$2:$D$96)</f>
        <v>0.25264129110616934</v>
      </c>
      <c r="F19" s="10">
        <f>FISHERINV(FISHER(E19)-NORMSINV(0.975)/SQRT(D19-3))</f>
        <v>5.3839698816929869E-2</v>
      </c>
      <c r="G19" s="10">
        <f>FISHERINV(FISHER(E19)+NORMSINV(0.975)/SQRT(D19-3))</f>
        <v>0.43217859134811165</v>
      </c>
      <c r="H19" s="11">
        <f>TDIST(ABS(E19)*SQRT((D19-2)/(1-E19^2)),D19-2,2)</f>
        <v>1.3509252993993257E-2</v>
      </c>
      <c r="I19" s="12">
        <v>2.7018506000000001E-2</v>
      </c>
      <c r="J19" s="4" t="s">
        <v>25</v>
      </c>
    </row>
    <row r="20" spans="1:10" x14ac:dyDescent="0.2">
      <c r="A20" s="2" t="s">
        <v>24</v>
      </c>
      <c r="B20" s="2" t="s">
        <v>12</v>
      </c>
      <c r="C20" s="2" t="s">
        <v>18</v>
      </c>
      <c r="D20" s="8">
        <f>COUNT('BFI Scores'!$T$2:$T$96)</f>
        <v>95</v>
      </c>
      <c r="E20" s="9">
        <f>CORREL('BFI Scores'!$T$2:$T$96,'BFI Scores'!$E$2:$E$96)</f>
        <v>0.60190231990038845</v>
      </c>
      <c r="F20" s="10">
        <f>FISHERINV(FISHER(E20)-NORMSINV(0.975)/SQRT(D20-3))</f>
        <v>0.45563162231862564</v>
      </c>
      <c r="G20" s="10">
        <f>FISHERINV(FISHER(E20)+NORMSINV(0.975)/SQRT(D20-3))</f>
        <v>0.71652433086758471</v>
      </c>
      <c r="H20" s="11">
        <f>TDIST(ABS(E20)*SQRT((D20-2)/(1-E20^2)),D20-2,2)</f>
        <v>1.1076111431259527E-10</v>
      </c>
      <c r="I20" s="12">
        <v>5.5400000000000005E-10</v>
      </c>
      <c r="J20" s="4" t="s">
        <v>14</v>
      </c>
    </row>
    <row r="21" spans="1:10" x14ac:dyDescent="0.2">
      <c r="A21" s="2" t="s">
        <v>24</v>
      </c>
      <c r="B21" s="2" t="s">
        <v>12</v>
      </c>
      <c r="C21" s="2" t="s">
        <v>19</v>
      </c>
      <c r="D21" s="8">
        <f>COUNT('BFI Scores'!$U$2:$U$96)</f>
        <v>95</v>
      </c>
      <c r="E21" s="9">
        <f>CORREL('BFI Scores'!$U$2:$U$96,'BFI Scores'!$F$2:$F$96)</f>
        <v>0.45169752675467195</v>
      </c>
      <c r="F21" s="10">
        <f>FISHERINV(FISHER(E21)-NORMSINV(0.975)/SQRT(D21-3))</f>
        <v>0.27520853580023596</v>
      </c>
      <c r="G21" s="10">
        <f>FISHERINV(FISHER(E21)+NORMSINV(0.975)/SQRT(D21-3))</f>
        <v>0.59873390744462052</v>
      </c>
      <c r="H21" s="11">
        <f>TDIST(ABS(E21)*SQRT((D21-2)/(1-E21^2)),D21-2,2)</f>
        <v>4.3355107244400435E-6</v>
      </c>
      <c r="I21" s="12">
        <v>1.73E-5</v>
      </c>
      <c r="J21" s="4" t="s">
        <v>14</v>
      </c>
    </row>
    <row r="22" spans="1:10" x14ac:dyDescent="0.2">
      <c r="A22" s="5" t="s">
        <v>24</v>
      </c>
      <c r="B22" s="5" t="s">
        <v>12</v>
      </c>
      <c r="C22" s="5" t="s">
        <v>20</v>
      </c>
      <c r="E22" s="13">
        <f>AVERAGE(E17:E21)</f>
        <v>0.39177348594372768</v>
      </c>
      <c r="J22" s="2" t="str">
        <f>COUNTIF(J17:J21,"&lt;&gt;ns")&amp;" of 5 sig."</f>
        <v>5 of 5 sig.</v>
      </c>
    </row>
    <row r="23" spans="1:10" x14ac:dyDescent="0.2">
      <c r="C23" s="5" t="s">
        <v>21</v>
      </c>
      <c r="E23" s="24">
        <f>_xlfn.STDEV.S(E17:E21)</f>
        <v>0.16022528866734315</v>
      </c>
    </row>
    <row r="24" spans="1:10" x14ac:dyDescent="0.2">
      <c r="A24" s="2" t="s">
        <v>24</v>
      </c>
      <c r="B24" s="2" t="s">
        <v>22</v>
      </c>
      <c r="C24" s="2" t="s">
        <v>13</v>
      </c>
      <c r="D24" s="8">
        <f>COUNT('BFI Scores'!$V$2:$V$96)</f>
        <v>95</v>
      </c>
      <c r="E24" s="9">
        <f>CORREL('BFI Scores'!$V$2:$V$96,'BFI Scores'!$B$2:$B$96)</f>
        <v>3.9027128027051043E-2</v>
      </c>
      <c r="F24" s="10">
        <f>FISHERINV(FISHER(E24)-NORMSINV(0.975)/SQRT(D24-3))</f>
        <v>-0.16380430511383823</v>
      </c>
      <c r="G24" s="10">
        <f>FISHERINV(FISHER(E24)+NORMSINV(0.975)/SQRT(D24-3))</f>
        <v>0.23869266301401224</v>
      </c>
      <c r="H24" s="11">
        <f>TDIST(ABS(E24)*SQRT((D24-2)/(1-E24^2)),D24-2,2)</f>
        <v>0.70729101574849618</v>
      </c>
      <c r="I24" s="12">
        <v>0.86215566200000004</v>
      </c>
      <c r="J24" s="4" t="s">
        <v>17</v>
      </c>
    </row>
    <row r="25" spans="1:10" x14ac:dyDescent="0.2">
      <c r="A25" s="2" t="s">
        <v>24</v>
      </c>
      <c r="B25" s="2" t="s">
        <v>22</v>
      </c>
      <c r="C25" s="2" t="s">
        <v>15</v>
      </c>
      <c r="D25" s="8">
        <f>COUNT('BFI Scores'!$W$2:$W$96)</f>
        <v>95</v>
      </c>
      <c r="E25" s="9">
        <f>CORREL('BFI Scores'!$W$2:$W$96,'BFI Scores'!$C$2:$C$96)</f>
        <v>8.9400667120359989E-2</v>
      </c>
      <c r="F25" s="10">
        <f>FISHERINV(FISHER(E25)-NORMSINV(0.975)/SQRT(D25-3))</f>
        <v>-0.11420000427963953</v>
      </c>
      <c r="G25" s="10">
        <f>FISHERINV(FISHER(E25)+NORMSINV(0.975)/SQRT(D25-3))</f>
        <v>0.2857942110490384</v>
      </c>
      <c r="H25" s="11">
        <f>TDIST(ABS(E25)*SQRT((D25-2)/(1-E25^2)),D25-2,2)</f>
        <v>0.38892889160557076</v>
      </c>
      <c r="I25" s="12">
        <v>0.86215566200000004</v>
      </c>
      <c r="J25" s="4" t="s">
        <v>17</v>
      </c>
    </row>
    <row r="26" spans="1:10" x14ac:dyDescent="0.2">
      <c r="A26" s="2" t="s">
        <v>24</v>
      </c>
      <c r="B26" s="2" t="s">
        <v>22</v>
      </c>
      <c r="C26" s="2" t="s">
        <v>16</v>
      </c>
      <c r="D26" s="8">
        <f>COUNT('BFI Scores'!$X$2:$X$96)</f>
        <v>95</v>
      </c>
      <c r="E26" s="9">
        <f>CORREL('BFI Scores'!$X$2:$X$96,'BFI Scores'!$D$2:$D$96)</f>
        <v>0.11027786268987609</v>
      </c>
      <c r="F26" s="10">
        <f>FISHERINV(FISHER(E26)-NORMSINV(0.975)/SQRT(D26-3))</f>
        <v>-9.3339686849024231E-2</v>
      </c>
      <c r="G26" s="10">
        <f>FISHERINV(FISHER(E26)+NORMSINV(0.975)/SQRT(D26-3))</f>
        <v>0.30504110745429386</v>
      </c>
      <c r="H26" s="11">
        <f>TDIST(ABS(E26)*SQRT((D26-2)/(1-E26^2)),D26-2,2)</f>
        <v>0.28738522063821692</v>
      </c>
      <c r="I26" s="12">
        <v>0.86215566200000004</v>
      </c>
      <c r="J26" s="4" t="s">
        <v>17</v>
      </c>
    </row>
    <row r="27" spans="1:10" x14ac:dyDescent="0.2">
      <c r="A27" s="2" t="s">
        <v>24</v>
      </c>
      <c r="B27" s="2" t="s">
        <v>22</v>
      </c>
      <c r="C27" s="2" t="s">
        <v>18</v>
      </c>
      <c r="D27" s="8">
        <f>COUNT('BFI Scores'!$Y$2:$Y$96)</f>
        <v>95</v>
      </c>
      <c r="E27" s="9">
        <f>CORREL('BFI Scores'!$Y$2:$Y$96,'BFI Scores'!$E$2:$E$96)</f>
        <v>-0.24859561609759104</v>
      </c>
      <c r="F27" s="10">
        <f>FISHERINV(FISHER(E27)-NORMSINV(0.975)/SQRT(D27-3))</f>
        <v>-0.42866151984728695</v>
      </c>
      <c r="G27" s="10">
        <f>FISHERINV(FISHER(E27)+NORMSINV(0.975)/SQRT(D27-3))</f>
        <v>-4.9534417896608743E-2</v>
      </c>
      <c r="H27" s="11">
        <f>TDIST(ABS(E27)*SQRT((D27-2)/(1-E27^2)),D27-2,2)</f>
        <v>1.5132236014800958E-2</v>
      </c>
      <c r="I27" s="12">
        <v>7.5661179999999995E-2</v>
      </c>
      <c r="J27" s="4" t="s">
        <v>17</v>
      </c>
    </row>
    <row r="28" spans="1:10" x14ac:dyDescent="0.2">
      <c r="A28" s="2" t="s">
        <v>24</v>
      </c>
      <c r="B28" s="2" t="s">
        <v>22</v>
      </c>
      <c r="C28" s="2" t="s">
        <v>19</v>
      </c>
      <c r="D28" s="8">
        <f>COUNT('BFI Scores'!$Z$2:$Z$96)</f>
        <v>95</v>
      </c>
      <c r="E28" s="9">
        <f>CORREL('BFI Scores'!$Z$2:$Z$96,'BFI Scores'!$F$2:$F$96)</f>
        <v>0.15188229722502697</v>
      </c>
      <c r="F28" s="10">
        <f>FISHERINV(FISHER(E28)-NORMSINV(0.975)/SQRT(D28-3))</f>
        <v>-5.122886680386847E-2</v>
      </c>
      <c r="G28" s="10">
        <f>FISHERINV(FISHER(E28)+NORMSINV(0.975)/SQRT(D28-3))</f>
        <v>0.34292799843303284</v>
      </c>
      <c r="H28" s="11">
        <f>TDIST(ABS(E28)*SQRT((D28-2)/(1-E28^2)),D28-2,2)</f>
        <v>0.14174958995588349</v>
      </c>
      <c r="I28" s="12">
        <v>0.56699836000000003</v>
      </c>
      <c r="J28" s="4" t="s">
        <v>17</v>
      </c>
    </row>
    <row r="29" spans="1:10" x14ac:dyDescent="0.2">
      <c r="A29" s="5" t="s">
        <v>24</v>
      </c>
      <c r="B29" s="5" t="s">
        <v>22</v>
      </c>
      <c r="C29" s="5" t="s">
        <v>20</v>
      </c>
      <c r="E29" s="13">
        <f>AVERAGE(E24:E28)</f>
        <v>2.8398467792944616E-2</v>
      </c>
      <c r="J29" s="2" t="str">
        <f>COUNTIF(J24:J28,"&lt;&gt;ns")&amp;" of 5 sig."</f>
        <v>0 of 5 sig.</v>
      </c>
    </row>
    <row r="30" spans="1:10" x14ac:dyDescent="0.2">
      <c r="C30" s="5" t="s">
        <v>21</v>
      </c>
      <c r="E30" s="24">
        <f>_xlfn.STDEV.S(E24:E28)</f>
        <v>0.16008782799717328</v>
      </c>
    </row>
    <row r="31" spans="1:10" x14ac:dyDescent="0.2">
      <c r="A31" s="27" t="s">
        <v>26</v>
      </c>
      <c r="B31" s="27" t="s">
        <v>12</v>
      </c>
      <c r="C31" s="27" t="s">
        <v>13</v>
      </c>
      <c r="D31" s="28">
        <f>COUNT('BFI Scores'!$AA$2:$AA$96)</f>
        <v>95</v>
      </c>
      <c r="E31" s="29">
        <f>CORREL('BFI Scores'!$AA$2:$AA$96,'BFI Scores'!$B$2:$B$96)</f>
        <v>0.44568370883178959</v>
      </c>
      <c r="F31" s="30">
        <f>FISHERINV(FISHER(E31)-NORMSINV(0.975)/SQRT(D31-3))</f>
        <v>0.26823473565735917</v>
      </c>
      <c r="G31" s="30">
        <f>FISHERINV(FISHER(E31)+NORMSINV(0.975)/SQRT(D31-3))</f>
        <v>0.59388163349517575</v>
      </c>
      <c r="H31" s="31">
        <f>TDIST(ABS(E31)*SQRT((D31-2)/(1-E31^2)),D31-2,2)</f>
        <v>6.0090769663683537E-6</v>
      </c>
      <c r="I31" s="32">
        <v>2.403630786547248E-5</v>
      </c>
      <c r="J31" s="33" t="s">
        <v>14</v>
      </c>
    </row>
    <row r="32" spans="1:10" x14ac:dyDescent="0.2">
      <c r="A32" s="27" t="s">
        <v>26</v>
      </c>
      <c r="B32" s="27" t="s">
        <v>12</v>
      </c>
      <c r="C32" s="27" t="s">
        <v>15</v>
      </c>
      <c r="D32" s="28">
        <f>COUNT('BFI Scores'!$AB$2:$AB$96)</f>
        <v>95</v>
      </c>
      <c r="E32" s="29">
        <f>CORREL('BFI Scores'!$AB$2:$AB$96,'BFI Scores'!$C$2:$C$96)</f>
        <v>0.3084692410918653</v>
      </c>
      <c r="F32" s="30">
        <f>FISHERINV(FISHER(E32)-NORMSINV(0.975)/SQRT(D32-3))</f>
        <v>0.11401449484946508</v>
      </c>
      <c r="G32" s="30">
        <f>FISHERINV(FISHER(E32)+NORMSINV(0.975)/SQRT(D32-3))</f>
        <v>0.48016074169115941</v>
      </c>
      <c r="H32" s="31">
        <f>TDIST(ABS(E32)*SQRT((D32-2)/(1-E32^2)),D32-2,2)</f>
        <v>2.3554687623984823E-3</v>
      </c>
      <c r="I32" s="32">
        <v>4.7109375247968146E-3</v>
      </c>
      <c r="J32" s="33" t="s">
        <v>23</v>
      </c>
    </row>
    <row r="33" spans="1:12" x14ac:dyDescent="0.2">
      <c r="A33" s="27" t="s">
        <v>26</v>
      </c>
      <c r="B33" s="27" t="s">
        <v>12</v>
      </c>
      <c r="C33" s="27" t="s">
        <v>16</v>
      </c>
      <c r="D33" s="28">
        <f>COUNT('BFI Scores'!$AC$2:$AC$96)</f>
        <v>95</v>
      </c>
      <c r="E33" s="29">
        <f>CORREL('BFI Scores'!$AC$2:$AC$96,'BFI Scores'!$D$2:$D$96)</f>
        <v>0.15000578363610895</v>
      </c>
      <c r="F33" s="30">
        <f>FISHERINV(FISHER(E33)-NORMSINV(0.975)/SQRT(D33-3))</f>
        <v>-5.314390226089373E-2</v>
      </c>
      <c r="G33" s="30">
        <f>FISHERINV(FISHER(E33)+NORMSINV(0.975)/SQRT(D33-3))</f>
        <v>0.34123244073847875</v>
      </c>
      <c r="H33" s="31">
        <f>TDIST(ABS(E33)*SQRT((D33-2)/(1-E33^2)),D33-2,2)</f>
        <v>0.14679551733909743</v>
      </c>
      <c r="I33" s="32">
        <v>0.14679551733912169</v>
      </c>
      <c r="J33" s="33" t="s">
        <v>17</v>
      </c>
    </row>
    <row r="34" spans="1:12" x14ac:dyDescent="0.2">
      <c r="A34" s="27" t="s">
        <v>26</v>
      </c>
      <c r="B34" s="27" t="s">
        <v>12</v>
      </c>
      <c r="C34" s="27" t="s">
        <v>18</v>
      </c>
      <c r="D34" s="28">
        <f>COUNT('BFI Scores'!$AD$2:$AD$96)</f>
        <v>95</v>
      </c>
      <c r="E34" s="29">
        <f>CORREL('BFI Scores'!$AD$2:$AD$96,'BFI Scores'!$E$2:$E$96)</f>
        <v>0.59504824307159665</v>
      </c>
      <c r="F34" s="30">
        <f>FISHERINV(FISHER(E34)-NORMSINV(0.975)/SQRT(D34-3))</f>
        <v>0.44712836262214029</v>
      </c>
      <c r="G34" s="30">
        <f>FISHERINV(FISHER(E34)+NORMSINV(0.975)/SQRT(D34-3))</f>
        <v>0.71128803231039428</v>
      </c>
      <c r="H34" s="31">
        <f>TDIST(ABS(E34)*SQRT((D34-2)/(1-E34^2)),D34-2,2)</f>
        <v>2.0287767582916929E-10</v>
      </c>
      <c r="I34" s="32">
        <v>1.0143883791457951E-9</v>
      </c>
      <c r="J34" s="33" t="s">
        <v>14</v>
      </c>
    </row>
    <row r="35" spans="1:12" x14ac:dyDescent="0.2">
      <c r="A35" s="27" t="s">
        <v>26</v>
      </c>
      <c r="B35" s="27" t="s">
        <v>12</v>
      </c>
      <c r="C35" s="27" t="s">
        <v>19</v>
      </c>
      <c r="D35" s="28">
        <f>COUNT('BFI Scores'!$AE$2:$AE$96)</f>
        <v>95</v>
      </c>
      <c r="E35" s="29">
        <f>CORREL('BFI Scores'!$AE$2:$AE$96,'BFI Scores'!$F$2:$F$96)</f>
        <v>0.43397578516085289</v>
      </c>
      <c r="F35" s="30">
        <f>FISHERINV(FISHER(E35)-NORMSINV(0.975)/SQRT(D35-3))</f>
        <v>0.2547110232642994</v>
      </c>
      <c r="G35" s="30">
        <f>FISHERINV(FISHER(E35)+NORMSINV(0.975)/SQRT(D35-3))</f>
        <v>0.58440402011543213</v>
      </c>
      <c r="H35" s="31">
        <f>TDIST(ABS(E35)*SQRT((D35-2)/(1-E35^2)),D35-2,2)</f>
        <v>1.1148163552917782E-5</v>
      </c>
      <c r="I35" s="32">
        <v>3.3444490658752188E-5</v>
      </c>
      <c r="J35" s="33" t="s">
        <v>14</v>
      </c>
    </row>
    <row r="36" spans="1:12" x14ac:dyDescent="0.2">
      <c r="A36" s="34" t="s">
        <v>26</v>
      </c>
      <c r="B36" s="34" t="s">
        <v>12</v>
      </c>
      <c r="C36" s="34" t="s">
        <v>20</v>
      </c>
      <c r="E36" s="35">
        <f>AVERAGE(E31:E35)</f>
        <v>0.38663655235844263</v>
      </c>
      <c r="J36" s="27" t="str">
        <f>COUNTIF(J31:J35,"&lt;&gt;ns")&amp;" of 5 sig."</f>
        <v>4 of 5 sig.</v>
      </c>
    </row>
    <row r="37" spans="1:12" x14ac:dyDescent="0.2">
      <c r="C37" s="27" t="s">
        <v>21</v>
      </c>
      <c r="E37" s="30">
        <f>_xlfn.STDEV.S(E31:E35)</f>
        <v>0.16678373102058897</v>
      </c>
    </row>
    <row r="38" spans="1:12" x14ac:dyDescent="0.2">
      <c r="A38" s="27" t="s">
        <v>26</v>
      </c>
      <c r="B38" s="27" t="s">
        <v>22</v>
      </c>
      <c r="C38" s="27" t="s">
        <v>13</v>
      </c>
      <c r="D38" s="28">
        <f>COUNT('BFI Scores'!$AF$2:$AF$96)</f>
        <v>95</v>
      </c>
      <c r="E38" s="29">
        <f>CORREL('BFI Scores'!$AF$2:$AF$96,'BFI Scores'!$B$2:$B$96)</f>
        <v>0.45701879193987505</v>
      </c>
      <c r="F38" s="30">
        <f>FISHERINV(FISHER(E38)-NORMSINV(0.975)/SQRT(D38-3))</f>
        <v>0.28139475860758939</v>
      </c>
      <c r="G38" s="30">
        <f>FISHERINV(FISHER(E38)+NORMSINV(0.975)/SQRT(D38-3))</f>
        <v>0.60301841110104037</v>
      </c>
      <c r="H38" s="31">
        <f>TDIST(ABS(E38)*SQRT((D38-2)/(1-E38^2)),D38-2,2)</f>
        <v>3.2309851930661715E-6</v>
      </c>
      <c r="I38" s="32">
        <v>1.6154925965330462E-5</v>
      </c>
      <c r="J38" s="33" t="s">
        <v>14</v>
      </c>
    </row>
    <row r="39" spans="1:12" x14ac:dyDescent="0.2">
      <c r="A39" s="27" t="s">
        <v>26</v>
      </c>
      <c r="B39" s="27" t="s">
        <v>22</v>
      </c>
      <c r="C39" s="27" t="s">
        <v>15</v>
      </c>
      <c r="D39" s="28">
        <f>COUNT('BFI Scores'!$AG$2:$AG$96)</f>
        <v>95</v>
      </c>
      <c r="E39" s="29">
        <f>CORREL('BFI Scores'!$AG$2:$AG$96,'BFI Scores'!$C$2:$C$96)</f>
        <v>0.24006871289276904</v>
      </c>
      <c r="F39" s="30">
        <f>FISHERINV(FISHER(E39)-NORMSINV(0.975)/SQRT(D39-3))</f>
        <v>4.0484515929608347E-2</v>
      </c>
      <c r="G39" s="30">
        <f>FISHERINV(FISHER(E39)+NORMSINV(0.975)/SQRT(D39-3))</f>
        <v>0.4212308160654552</v>
      </c>
      <c r="H39" s="31">
        <f>TDIST(ABS(E39)*SQRT((D39-2)/(1-E39^2)),D39-2,2)</f>
        <v>1.9113836670849496E-2</v>
      </c>
      <c r="I39" s="32">
        <v>5.7341510012546552E-2</v>
      </c>
      <c r="J39" s="33" t="s">
        <v>17</v>
      </c>
    </row>
    <row r="40" spans="1:12" x14ac:dyDescent="0.2">
      <c r="A40" s="27" t="s">
        <v>26</v>
      </c>
      <c r="B40" s="27" t="s">
        <v>22</v>
      </c>
      <c r="C40" s="27" t="s">
        <v>16</v>
      </c>
      <c r="D40" s="28">
        <f>COUNT('BFI Scores'!$AH$2:$AH$96)</f>
        <v>95</v>
      </c>
      <c r="E40" s="29">
        <f>CORREL('BFI Scores'!$AH$2:$AH$96,'BFI Scores'!$D$2:$D$96)</f>
        <v>0.1421197568099575</v>
      </c>
      <c r="F40" s="30">
        <f>FISHERINV(FISHER(E40)-NORMSINV(0.975)/SQRT(D40-3))</f>
        <v>-6.1175515010495202E-2</v>
      </c>
      <c r="G40" s="30">
        <f>FISHERINV(FISHER(E40)+NORMSINV(0.975)/SQRT(D40-3))</f>
        <v>0.33409324932565021</v>
      </c>
      <c r="H40" s="31">
        <f>TDIST(ABS(E40)*SQRT((D40-2)/(1-E40^2)),D40-2,2)</f>
        <v>0.16948547786187401</v>
      </c>
      <c r="I40" s="32">
        <v>0.16948547786189749</v>
      </c>
      <c r="J40" s="33" t="s">
        <v>17</v>
      </c>
    </row>
    <row r="41" spans="1:12" x14ac:dyDescent="0.2">
      <c r="A41" s="27" t="s">
        <v>26</v>
      </c>
      <c r="B41" s="27" t="s">
        <v>22</v>
      </c>
      <c r="C41" s="27" t="s">
        <v>18</v>
      </c>
      <c r="D41" s="28">
        <f>COUNT('BFI Scores'!$AI$2:$AI$96)</f>
        <v>95</v>
      </c>
      <c r="E41" s="29">
        <f>CORREL('BFI Scores'!$AI$2:$AI$96,'BFI Scores'!$E$2:$E$96)</f>
        <v>0.1807997209886327</v>
      </c>
      <c r="F41" s="30">
        <f>FISHERINV(FISHER(E41)-NORMSINV(0.975)/SQRT(D41-3))</f>
        <v>-2.152773301140876E-2</v>
      </c>
      <c r="G41" s="30">
        <f>FISHERINV(FISHER(E41)+NORMSINV(0.975)/SQRT(D41-3))</f>
        <v>0.36890039587885404</v>
      </c>
      <c r="H41" s="31">
        <f>TDIST(ABS(E41)*SQRT((D41-2)/(1-E41^2)),D41-2,2)</f>
        <v>7.9538588821147616E-2</v>
      </c>
      <c r="I41" s="32">
        <v>0.15907717764229101</v>
      </c>
      <c r="J41" s="33" t="s">
        <v>17</v>
      </c>
    </row>
    <row r="42" spans="1:12" x14ac:dyDescent="0.2">
      <c r="A42" s="27" t="s">
        <v>26</v>
      </c>
      <c r="B42" s="27" t="s">
        <v>22</v>
      </c>
      <c r="C42" s="27" t="s">
        <v>19</v>
      </c>
      <c r="D42" s="28">
        <f>COUNT('BFI Scores'!$AJ$2:$AJ$96)</f>
        <v>95</v>
      </c>
      <c r="E42" s="29">
        <f>CORREL('BFI Scores'!$AJ$2:$AJ$96,'BFI Scores'!$F$2:$F$96)</f>
        <v>0.37215110959321496</v>
      </c>
      <c r="F42" s="30">
        <f>FISHERINV(FISHER(E42)-NORMSINV(0.975)/SQRT(D42-3))</f>
        <v>0.1844420803732657</v>
      </c>
      <c r="G42" s="30">
        <f>FISHERINV(FISHER(E42)+NORMSINV(0.975)/SQRT(D42-3))</f>
        <v>0.53366673446217028</v>
      </c>
      <c r="H42" s="31">
        <f>TDIST(ABS(E42)*SQRT((D42-2)/(1-E42^2)),D42-2,2)</f>
        <v>2.0434891539282491E-4</v>
      </c>
      <c r="I42" s="32">
        <v>8.173956615712708E-4</v>
      </c>
      <c r="J42" s="33" t="s">
        <v>14</v>
      </c>
    </row>
    <row r="43" spans="1:12" x14ac:dyDescent="0.2">
      <c r="A43" s="34" t="s">
        <v>26</v>
      </c>
      <c r="B43" s="34" t="s">
        <v>22</v>
      </c>
      <c r="C43" s="34" t="s">
        <v>20</v>
      </c>
      <c r="E43" s="35">
        <f>AVERAGE(E38:E42)</f>
        <v>0.27843161844488984</v>
      </c>
      <c r="J43" s="27" t="str">
        <f>COUNTIF(J38:J42,"&lt;&gt;ns")&amp;" of 5 sig."</f>
        <v>2 of 5 sig.</v>
      </c>
    </row>
    <row r="44" spans="1:12" x14ac:dyDescent="0.2">
      <c r="C44" s="27" t="s">
        <v>21</v>
      </c>
      <c r="E44" s="30">
        <f>_xlfn.STDEV.S(E38:E42)</f>
        <v>0.13253428339840975</v>
      </c>
    </row>
    <row r="46" spans="1:12" x14ac:dyDescent="0.2">
      <c r="A46" s="7" t="s">
        <v>27</v>
      </c>
    </row>
    <row r="47" spans="1:12" x14ac:dyDescent="0.2">
      <c r="A47" s="1" t="s">
        <v>1</v>
      </c>
      <c r="B47" s="1" t="s">
        <v>3</v>
      </c>
      <c r="C47" s="1" t="s">
        <v>4</v>
      </c>
      <c r="D47" s="1" t="s">
        <v>28</v>
      </c>
      <c r="E47" s="1" t="s">
        <v>29</v>
      </c>
      <c r="F47" s="1" t="s">
        <v>30</v>
      </c>
      <c r="G47" s="1" t="s">
        <v>31</v>
      </c>
      <c r="H47" s="1" t="s">
        <v>32</v>
      </c>
      <c r="I47" s="1" t="s">
        <v>33</v>
      </c>
      <c r="J47" s="1" t="s">
        <v>8</v>
      </c>
      <c r="K47" s="1" t="s">
        <v>9</v>
      </c>
      <c r="L47" s="1" t="s">
        <v>10</v>
      </c>
    </row>
    <row r="48" spans="1:12" x14ac:dyDescent="0.2">
      <c r="A48" s="2" t="s">
        <v>11</v>
      </c>
      <c r="B48" s="2" t="s">
        <v>13</v>
      </c>
      <c r="C48" s="8">
        <f>COUNT('BFI Scores'!$B$2:$B$96)</f>
        <v>95</v>
      </c>
      <c r="D48" s="9">
        <f>CORREL('BFI Scores'!$G$2:$G$96,'BFI Scores'!$B$2:$B$96)</f>
        <v>0.46749576506786372</v>
      </c>
      <c r="E48" s="9">
        <f>CORREL('BFI Scores'!$L$2:$L$96,'BFI Scores'!$B$2:$B$96)</f>
        <v>0.43511212821874251</v>
      </c>
      <c r="F48" s="9">
        <f>CORREL('BFI Scores'!$G$2:$G$96,'BFI Scores'!$L$2:$L$96)</f>
        <v>0.63608949030234863</v>
      </c>
      <c r="G48" s="10">
        <f>D48-E48</f>
        <v>3.2383636849121211E-2</v>
      </c>
      <c r="H48" s="14">
        <f>(D48-E48)*SQRT((C48-1)*(1+F48)/((2*(C48-1)/(C48-3))*(1-D48^2-E48^2-F48^2+2*D48*E48*F48)+((D48+E48)/2)^2*(1-F48)^3))</f>
        <v>0.41828596727884781</v>
      </c>
      <c r="I48" s="2">
        <f>C48-3</f>
        <v>92</v>
      </c>
      <c r="J48" s="11">
        <f>TDIST(ABS(H48),I48,2)</f>
        <v>0.67671283071575261</v>
      </c>
      <c r="K48" s="12">
        <v>1</v>
      </c>
      <c r="L48" s="4" t="s">
        <v>17</v>
      </c>
    </row>
    <row r="49" spans="1:12" x14ac:dyDescent="0.2">
      <c r="A49" s="2" t="s">
        <v>11</v>
      </c>
      <c r="B49" s="2" t="s">
        <v>15</v>
      </c>
      <c r="C49" s="8">
        <f>COUNT('BFI Scores'!$C$2:$C$96)</f>
        <v>95</v>
      </c>
      <c r="D49" s="9">
        <f>CORREL('BFI Scores'!$H$2:$H$96,'BFI Scores'!$C$2:$C$96)</f>
        <v>0.35085724467664375</v>
      </c>
      <c r="E49" s="9">
        <f>CORREL('BFI Scores'!$M$2:$M$96,'BFI Scores'!$C$2:$C$96)</f>
        <v>0.30529728996099548</v>
      </c>
      <c r="F49" s="9">
        <f>CORREL('BFI Scores'!$H$2:$H$96,'BFI Scores'!$M$2:$M$96)</f>
        <v>0.60320641237502781</v>
      </c>
      <c r="G49" s="10">
        <f>D49-E49</f>
        <v>4.5559954715648276E-2</v>
      </c>
      <c r="H49" s="14">
        <f>(D49-E49)*SQRT((C49-1)*(1+F49)/((2*(C49-1)/(C49-3))*(1-D49^2-E49^2-F49^2+2*D49*E49*F49)+((D49+E49)/2)^2*(1-F49)^3))</f>
        <v>0.52644045950833263</v>
      </c>
      <c r="I49" s="2">
        <f>C49-3</f>
        <v>92</v>
      </c>
      <c r="J49" s="11">
        <f>TDIST(ABS(H49),I49,2)</f>
        <v>0.59984911659296325</v>
      </c>
      <c r="K49" s="12">
        <v>1</v>
      </c>
      <c r="L49" s="4" t="s">
        <v>17</v>
      </c>
    </row>
    <row r="50" spans="1:12" x14ac:dyDescent="0.2">
      <c r="A50" s="2" t="s">
        <v>11</v>
      </c>
      <c r="B50" s="2" t="s">
        <v>16</v>
      </c>
      <c r="C50" s="8">
        <f>COUNT('BFI Scores'!$D$2:$D$96)</f>
        <v>95</v>
      </c>
      <c r="D50" s="9">
        <f>CORREL('BFI Scores'!$I$2:$I$96,'BFI Scores'!$D$2:$D$96)</f>
        <v>0.14205282051088064</v>
      </c>
      <c r="E50" s="9">
        <f>CORREL('BFI Scores'!$N$2:$N$96,'BFI Scores'!$D$2:$D$96)</f>
        <v>0.15206519607612051</v>
      </c>
      <c r="F50" s="9">
        <f>CORREL('BFI Scores'!$I$2:$I$96,'BFI Scores'!$N$2:$N$96)</f>
        <v>0.43356855853289189</v>
      </c>
      <c r="G50" s="10">
        <f>D50-E50</f>
        <v>-1.0012375565239873E-2</v>
      </c>
      <c r="H50" s="14">
        <f>(D50-E50)*SQRT((C50-1)*(1+F50)/((2*(C50-1)/(C50-3))*(1-D50^2-E50^2-F50^2+2*D50*E50*F50)+((D50+E50)/2)^2*(1-F50)^3))</f>
        <v>-9.151345388458608E-2</v>
      </c>
      <c r="I50" s="2">
        <f>C50-3</f>
        <v>92</v>
      </c>
      <c r="J50" s="11">
        <f>TDIST(ABS(H50),I50,2)</f>
        <v>0.92728358240690556</v>
      </c>
      <c r="K50" s="12">
        <v>1</v>
      </c>
      <c r="L50" s="4" t="s">
        <v>17</v>
      </c>
    </row>
    <row r="51" spans="1:12" x14ac:dyDescent="0.2">
      <c r="A51" s="2" t="s">
        <v>11</v>
      </c>
      <c r="B51" s="2" t="s">
        <v>18</v>
      </c>
      <c r="C51" s="8">
        <f>COUNT('BFI Scores'!$E$2:$E$96)</f>
        <v>95</v>
      </c>
      <c r="D51" s="9">
        <f>CORREL('BFI Scores'!$J$2:$J$96,'BFI Scores'!$E$2:$E$96)</f>
        <v>0.62768477324494609</v>
      </c>
      <c r="E51" s="9">
        <f>CORREL('BFI Scores'!$O$2:$O$96,'BFI Scores'!$E$2:$E$96)</f>
        <v>0.18354489161106244</v>
      </c>
      <c r="F51" s="9">
        <f>CORREL('BFI Scores'!$J$2:$J$96,'BFI Scores'!$O$2:$O$96)</f>
        <v>0.6094222466353888</v>
      </c>
      <c r="G51" s="10">
        <f>D51-E51</f>
        <v>0.44413988163388363</v>
      </c>
      <c r="H51" s="14">
        <f>(D51-E51)*SQRT((C51-1)*(1+F51)/((2*(C51-1)/(C51-3))*(1-D51^2-E51^2-F51^2+2*D51*E51*F51)+((D51+E51)/2)^2*(1-F51)^3))</f>
        <v>6.4953740615126243</v>
      </c>
      <c r="I51" s="2">
        <f>C51-3</f>
        <v>92</v>
      </c>
      <c r="J51" s="11">
        <f>TDIST(ABS(H51),I51,2)</f>
        <v>4.1657458377609843E-9</v>
      </c>
      <c r="K51" s="12">
        <v>2.08287291888051E-8</v>
      </c>
      <c r="L51" s="4" t="s">
        <v>14</v>
      </c>
    </row>
    <row r="52" spans="1:12" x14ac:dyDescent="0.2">
      <c r="A52" s="2" t="s">
        <v>11</v>
      </c>
      <c r="B52" s="2" t="s">
        <v>19</v>
      </c>
      <c r="C52" s="8">
        <f>COUNT('BFI Scores'!$F$2:$F$96)</f>
        <v>95</v>
      </c>
      <c r="D52" s="9">
        <f>CORREL('BFI Scores'!$K$2:$K$96,'BFI Scores'!$F$2:$F$96)</f>
        <v>0.41309847237262348</v>
      </c>
      <c r="E52" s="9">
        <f>CORREL('BFI Scores'!$P$2:$P$96,'BFI Scores'!$F$2:$F$96)</f>
        <v>0.38528753531349597</v>
      </c>
      <c r="F52" s="9">
        <f>CORREL('BFI Scores'!$K$2:$K$96,'BFI Scores'!$P$2:$P$96)</f>
        <v>0.65243609813501957</v>
      </c>
      <c r="G52" s="10">
        <f>D52-E52</f>
        <v>2.7810937059127516E-2</v>
      </c>
      <c r="H52" s="14">
        <f>(D52-E52)*SQRT((C52-1)*(1+F52)/((2*(C52-1)/(C52-3))*(1-D52^2-E52^2-F52^2+2*D52*E52*F52)+((D52+E52)/2)^2*(1-F52)^3))</f>
        <v>0.35512016758493986</v>
      </c>
      <c r="I52" s="2">
        <f>C52-3</f>
        <v>92</v>
      </c>
      <c r="J52" s="11">
        <f>TDIST(ABS(H52),I52,2)</f>
        <v>0.7233124060829631</v>
      </c>
      <c r="K52" s="12">
        <v>1</v>
      </c>
      <c r="L52" s="4" t="s">
        <v>17</v>
      </c>
    </row>
    <row r="54" spans="1:12" x14ac:dyDescent="0.2">
      <c r="A54" s="2" t="s">
        <v>24</v>
      </c>
      <c r="B54" s="2" t="s">
        <v>13</v>
      </c>
      <c r="C54" s="8">
        <f>COUNT('BFI Scores'!$B$2:$B$96)</f>
        <v>95</v>
      </c>
      <c r="D54" s="9">
        <f>CORREL('BFI Scores'!$Q$2:$Q$96,'BFI Scores'!$B$2:$B$96)</f>
        <v>0.44253636898092291</v>
      </c>
      <c r="E54" s="9">
        <f>CORREL('BFI Scores'!$V$2:$V$96,'BFI Scores'!$B$2:$B$96)</f>
        <v>3.9027128027051043E-2</v>
      </c>
      <c r="F54" s="9">
        <f>CORREL('BFI Scores'!$Q$2:$Q$96,'BFI Scores'!$V$2:$V$96)</f>
        <v>0.34397046508562634</v>
      </c>
      <c r="G54" s="10">
        <f>D54-E54</f>
        <v>0.40350924095387186</v>
      </c>
      <c r="H54" s="14">
        <f>(D54-E54)*SQRT((C54-1)*(1+F54)/((2*(C54-1)/(C54-3))*(1-D54^2-E54^2-F54^2+2*D54*E54*F54)+((D54+E54)/2)^2*(1-F54)^3))</f>
        <v>3.7807225615727811</v>
      </c>
      <c r="I54" s="2">
        <f>C54-3</f>
        <v>92</v>
      </c>
      <c r="J54" s="11">
        <f>TDIST(ABS(H54),I54,2)</f>
        <v>2.7765790683085282E-4</v>
      </c>
      <c r="K54" s="12">
        <v>1.1106316273234E-3</v>
      </c>
      <c r="L54" s="4" t="s">
        <v>23</v>
      </c>
    </row>
    <row r="55" spans="1:12" x14ac:dyDescent="0.2">
      <c r="A55" s="2" t="s">
        <v>24</v>
      </c>
      <c r="B55" s="2" t="s">
        <v>15</v>
      </c>
      <c r="C55" s="8">
        <f>COUNT('BFI Scores'!$C$2:$C$96)</f>
        <v>95</v>
      </c>
      <c r="D55" s="9">
        <f>CORREL('BFI Scores'!$R$2:$R$96,'BFI Scores'!$C$2:$C$96)</f>
        <v>0.21008992297648582</v>
      </c>
      <c r="E55" s="9">
        <f>CORREL('BFI Scores'!$W$2:$W$96,'BFI Scores'!$C$2:$C$96)</f>
        <v>8.9400667120359989E-2</v>
      </c>
      <c r="F55" s="9">
        <f>CORREL('BFI Scores'!$R$2:$R$96,'BFI Scores'!$W$2:$W$96)</f>
        <v>0.6360268837609806</v>
      </c>
      <c r="G55" s="10">
        <f>D55-E55</f>
        <v>0.12068925585612583</v>
      </c>
      <c r="H55" s="14">
        <f>(D55-E55)*SQRT((C55-1)*(1+F55)/((2*(C55-1)/(C55-3))*(1-D55^2-E55^2-F55^2+2*D55*E55*F55)+((D55+E55)/2)^2*(1-F55)^3))</f>
        <v>1.3895050147925299</v>
      </c>
      <c r="I55" s="2">
        <f>C55-3</f>
        <v>92</v>
      </c>
      <c r="J55" s="11">
        <f>TDIST(ABS(H55),I55,2)</f>
        <v>0.16803289432480492</v>
      </c>
      <c r="K55" s="12">
        <v>0.33606578864961101</v>
      </c>
      <c r="L55" s="4" t="s">
        <v>17</v>
      </c>
    </row>
    <row r="56" spans="1:12" x14ac:dyDescent="0.2">
      <c r="A56" s="2" t="s">
        <v>24</v>
      </c>
      <c r="B56" s="2" t="s">
        <v>16</v>
      </c>
      <c r="C56" s="8">
        <f>COUNT('BFI Scores'!$D$2:$D$96)</f>
        <v>95</v>
      </c>
      <c r="D56" s="9">
        <f>CORREL('BFI Scores'!$S$2:$S$96,'BFI Scores'!$D$2:$D$96)</f>
        <v>0.25264129110616934</v>
      </c>
      <c r="E56" s="9">
        <f>CORREL('BFI Scores'!$X$2:$X$96,'BFI Scores'!$D$2:$D$96)</f>
        <v>0.11027786268987609</v>
      </c>
      <c r="F56" s="9">
        <f>CORREL('BFI Scores'!$S$2:$S$96,'BFI Scores'!$X$2:$X$96)</f>
        <v>0.3450686767012664</v>
      </c>
      <c r="G56" s="10">
        <f>D56-E56</f>
        <v>0.14236342841629324</v>
      </c>
      <c r="H56" s="14">
        <f>(D56-E56)*SQRT((C56-1)*(1+F56)/((2*(C56-1)/(C56-3))*(1-D56^2-E56^2-F56^2+2*D56*E56*F56)+((D56+E56)/2)^2*(1-F56)^3))</f>
        <v>1.2301347983235262</v>
      </c>
      <c r="I56" s="2">
        <f>C56-3</f>
        <v>92</v>
      </c>
      <c r="J56" s="11">
        <f>TDIST(ABS(H56),I56,2)</f>
        <v>0.22178289201351029</v>
      </c>
      <c r="K56" s="12">
        <v>0.33606578864961101</v>
      </c>
      <c r="L56" s="4" t="s">
        <v>17</v>
      </c>
    </row>
    <row r="57" spans="1:12" x14ac:dyDescent="0.2">
      <c r="A57" s="2" t="s">
        <v>24</v>
      </c>
      <c r="B57" s="2" t="s">
        <v>18</v>
      </c>
      <c r="C57" s="8">
        <f>COUNT('BFI Scores'!$E$2:$E$96)</f>
        <v>95</v>
      </c>
      <c r="D57" s="9">
        <f>CORREL('BFI Scores'!$T$2:$T$96,'BFI Scores'!$E$2:$E$96)</f>
        <v>0.60190231990038845</v>
      </c>
      <c r="E57" s="9">
        <f>CORREL('BFI Scores'!$Y$2:$Y$96,'BFI Scores'!$E$2:$E$96)</f>
        <v>-0.24859561609759104</v>
      </c>
      <c r="F57" s="9">
        <f>CORREL('BFI Scores'!$T$2:$T$96,'BFI Scores'!$Y$2:$Y$96)</f>
        <v>0.13797798241055295</v>
      </c>
      <c r="G57" s="10">
        <f>D57-E57</f>
        <v>0.85049793599797952</v>
      </c>
      <c r="H57" s="14">
        <f>(D57-E57)*SQRT((C57-1)*(1+F57)/((2*(C57-1)/(C57-3))*(1-D57^2-E57^2-F57^2+2*D57*E57*F57)+((D57+E57)/2)^2*(1-F57)^3))</f>
        <v>8.4896131284246046</v>
      </c>
      <c r="I57" s="2">
        <f>C57-3</f>
        <v>92</v>
      </c>
      <c r="J57" s="11">
        <f>TDIST(ABS(H57),I57,2)</f>
        <v>3.4217756957131656E-13</v>
      </c>
      <c r="K57" s="12">
        <v>1.7108878478566601E-12</v>
      </c>
      <c r="L57" s="4" t="s">
        <v>14</v>
      </c>
    </row>
    <row r="58" spans="1:12" x14ac:dyDescent="0.2">
      <c r="A58" s="2" t="s">
        <v>24</v>
      </c>
      <c r="B58" s="2" t="s">
        <v>19</v>
      </c>
      <c r="C58" s="8">
        <f>COUNT('BFI Scores'!$F$2:$F$96)</f>
        <v>95</v>
      </c>
      <c r="D58" s="9">
        <f>CORREL('BFI Scores'!$U$2:$U$96,'BFI Scores'!$F$2:$F$96)</f>
        <v>0.45169752675467195</v>
      </c>
      <c r="E58" s="9">
        <f>CORREL('BFI Scores'!$Z$2:$Z$96,'BFI Scores'!$F$2:$F$96)</f>
        <v>0.15188229722502697</v>
      </c>
      <c r="F58" s="9">
        <f>CORREL('BFI Scores'!$U$2:$U$96,'BFI Scores'!$Z$2:$Z$96)</f>
        <v>0.41580800475517338</v>
      </c>
      <c r="G58" s="10">
        <f>D58-E58</f>
        <v>0.29981522952964501</v>
      </c>
      <c r="H58" s="14">
        <f>(D58-E58)*SQRT((C58-1)*(1+F58)/((2*(C58-1)/(C58-3))*(1-D58^2-E58^2-F58^2+2*D58*E58*F58)+((D58+E58)/2)^2*(1-F58)^3))</f>
        <v>2.9649407976170679</v>
      </c>
      <c r="I58" s="2">
        <f>C58-3</f>
        <v>92</v>
      </c>
      <c r="J58" s="11">
        <f>TDIST(ABS(H58),I58,2)</f>
        <v>3.8554048984815719E-3</v>
      </c>
      <c r="K58" s="12">
        <v>1.15662146954447E-2</v>
      </c>
      <c r="L58" s="4" t="s">
        <v>25</v>
      </c>
    </row>
    <row r="60" spans="1:12" x14ac:dyDescent="0.2">
      <c r="A60" s="27" t="s">
        <v>26</v>
      </c>
      <c r="B60" s="27" t="s">
        <v>13</v>
      </c>
      <c r="C60" s="28">
        <f>COUNT('BFI Scores'!$B$2:$B$96)</f>
        <v>95</v>
      </c>
      <c r="D60" s="29">
        <f>CORREL('BFI Scores'!$AA$2:$AA$96,'BFI Scores'!$B$2:$B$96)</f>
        <v>0.44568370883178959</v>
      </c>
      <c r="E60" s="29">
        <f>CORREL('BFI Scores'!$AF$2:$AF$96,'BFI Scores'!$B$2:$B$96)</f>
        <v>0.45701879193987505</v>
      </c>
      <c r="F60" s="29">
        <f>CORREL('BFI Scores'!$AA$2:$AA$96,'BFI Scores'!$AF$2:$AF$96)</f>
        <v>0.52771379025809839</v>
      </c>
      <c r="G60" s="30">
        <f>D60-E60</f>
        <v>-1.1335083108085453E-2</v>
      </c>
      <c r="H60" s="36">
        <f>(D60-E60)*SQRT((C60-1)*(1+F60)/((2*(C60-1)/(C60-3))*(1-D60^2-E60^2-F60^2+2*D60*E60*F60)+((D60+E60)/2)^2*(1-F60)^3))</f>
        <v>-0.12936911850367944</v>
      </c>
      <c r="I60" s="27">
        <f>C60-3</f>
        <v>92</v>
      </c>
      <c r="J60" s="31">
        <f>TDIST(ABS(H60),I60,2)</f>
        <v>0.89734799975252066</v>
      </c>
      <c r="K60" s="32">
        <v>1</v>
      </c>
      <c r="L60" s="33" t="s">
        <v>17</v>
      </c>
    </row>
    <row r="61" spans="1:12" x14ac:dyDescent="0.2">
      <c r="A61" s="27" t="s">
        <v>26</v>
      </c>
      <c r="B61" s="27" t="s">
        <v>15</v>
      </c>
      <c r="C61" s="28">
        <f>COUNT('BFI Scores'!$C$2:$C$96)</f>
        <v>95</v>
      </c>
      <c r="D61" s="29">
        <f>CORREL('BFI Scores'!$AB$2:$AB$96,'BFI Scores'!$C$2:$C$96)</f>
        <v>0.3084692410918653</v>
      </c>
      <c r="E61" s="29">
        <f>CORREL('BFI Scores'!$AG$2:$AG$96,'BFI Scores'!$C$2:$C$96)</f>
        <v>0.24006871289276904</v>
      </c>
      <c r="F61" s="29">
        <f>CORREL('BFI Scores'!$AB$2:$AB$96,'BFI Scores'!$AG$2:$AG$96)</f>
        <v>0.57686890612402908</v>
      </c>
      <c r="G61" s="30">
        <f>D61-E61</f>
        <v>6.8400528199096255E-2</v>
      </c>
      <c r="H61" s="36">
        <f>(D61-E61)*SQRT((C61-1)*(1+F61)/((2*(C61-1)/(C61-3))*(1-D61^2-E61^2-F61^2+2*D61*E61*F61)+((D61+E61)/2)^2*(1-F61)^3))</f>
        <v>0.75041023006951313</v>
      </c>
      <c r="I61" s="27">
        <f>C61-3</f>
        <v>92</v>
      </c>
      <c r="J61" s="31">
        <f>TDIST(ABS(H61),I61,2)</f>
        <v>0.45492260550306773</v>
      </c>
      <c r="K61" s="32">
        <v>1</v>
      </c>
      <c r="L61" s="33" t="s">
        <v>17</v>
      </c>
    </row>
    <row r="62" spans="1:12" x14ac:dyDescent="0.2">
      <c r="A62" s="27" t="s">
        <v>26</v>
      </c>
      <c r="B62" s="27" t="s">
        <v>16</v>
      </c>
      <c r="C62" s="28">
        <f>COUNT('BFI Scores'!$D$2:$D$96)</f>
        <v>95</v>
      </c>
      <c r="D62" s="29">
        <f>CORREL('BFI Scores'!$AC$2:$AC$96,'BFI Scores'!$D$2:$D$96)</f>
        <v>0.15000578363610895</v>
      </c>
      <c r="E62" s="29">
        <f>CORREL('BFI Scores'!$AH$2:$AH$96,'BFI Scores'!$D$2:$D$96)</f>
        <v>0.1421197568099575</v>
      </c>
      <c r="F62" s="29">
        <f>CORREL('BFI Scores'!$AC$2:$AC$96,'BFI Scores'!$AH$2:$AH$96)</f>
        <v>0.48029113997320461</v>
      </c>
      <c r="G62" s="30">
        <f>D62-E62</f>
        <v>7.8860268261514432E-3</v>
      </c>
      <c r="H62" s="36">
        <f>(D62-E62)*SQRT((C62-1)*(1+F62)/((2*(C62-1)/(C62-3))*(1-D62^2-E62^2-F62^2+2*D62*E62*F62)+((D62+E62)/2)^2*(1-F62)^3))</f>
        <v>7.521354998969057E-2</v>
      </c>
      <c r="I62" s="27">
        <f>C62-3</f>
        <v>92</v>
      </c>
      <c r="J62" s="31">
        <f>TDIST(ABS(H62),I62,2)</f>
        <v>0.94020811218535094</v>
      </c>
      <c r="K62" s="32">
        <v>1</v>
      </c>
      <c r="L62" s="33" t="s">
        <v>17</v>
      </c>
    </row>
    <row r="63" spans="1:12" x14ac:dyDescent="0.2">
      <c r="A63" s="27" t="s">
        <v>26</v>
      </c>
      <c r="B63" s="27" t="s">
        <v>18</v>
      </c>
      <c r="C63" s="28">
        <f>COUNT('BFI Scores'!$E$2:$E$96)</f>
        <v>95</v>
      </c>
      <c r="D63" s="29">
        <f>CORREL('BFI Scores'!$AD$2:$AD$96,'BFI Scores'!$E$2:$E$96)</f>
        <v>0.59504824307159665</v>
      </c>
      <c r="E63" s="29">
        <f>CORREL('BFI Scores'!$AI$2:$AI$96,'BFI Scores'!$E$2:$E$96)</f>
        <v>0.1807997209886327</v>
      </c>
      <c r="F63" s="29">
        <f>CORREL('BFI Scores'!$AD$2:$AD$96,'BFI Scores'!$AI$2:$AI$96)</f>
        <v>0.59864394442988611</v>
      </c>
      <c r="G63" s="30">
        <f>D63-E63</f>
        <v>0.41424852208296392</v>
      </c>
      <c r="H63" s="36">
        <f>(D63-E63)*SQRT((C63-1)*(1+F63)/((2*(C63-1)/(C63-3))*(1-D63^2-E63^2-F63^2+2*D63*E63*F63)+((D63+E63)/2)^2*(1-F63)^3))</f>
        <v>5.6998311366946162</v>
      </c>
      <c r="I63" s="27">
        <f>C63-3</f>
        <v>92</v>
      </c>
      <c r="J63" s="31">
        <f>TDIST(ABS(H63),I63,2)</f>
        <v>1.4344799451082091E-7</v>
      </c>
      <c r="K63" s="32">
        <v>7.1723997255409067E-7</v>
      </c>
      <c r="L63" s="33" t="s">
        <v>14</v>
      </c>
    </row>
    <row r="64" spans="1:12" x14ac:dyDescent="0.2">
      <c r="A64" s="27" t="s">
        <v>26</v>
      </c>
      <c r="B64" s="27" t="s">
        <v>19</v>
      </c>
      <c r="C64" s="28">
        <f>COUNT('BFI Scores'!$F$2:$F$96)</f>
        <v>95</v>
      </c>
      <c r="D64" s="29">
        <f>CORREL('BFI Scores'!$AE$2:$AE$96,'BFI Scores'!$F$2:$F$96)</f>
        <v>0.43397578516085289</v>
      </c>
      <c r="E64" s="29">
        <f>CORREL('BFI Scores'!$AJ$2:$AJ$96,'BFI Scores'!$F$2:$F$96)</f>
        <v>0.37215110959321496</v>
      </c>
      <c r="F64" s="29">
        <f>CORREL('BFI Scores'!$AE$2:$AE$96,'BFI Scores'!$AJ$2:$AJ$96)</f>
        <v>0.64282111998722102</v>
      </c>
      <c r="G64" s="30">
        <f>D64-E64</f>
        <v>6.1824675567637932E-2</v>
      </c>
      <c r="H64" s="36">
        <f>(D64-E64)*SQRT((C64-1)*(1+F64)/((2*(C64-1)/(C64-3))*(1-D64^2-E64^2-F64^2+2*D64*E64*F64)+((D64+E64)/2)^2*(1-F64)^3))</f>
        <v>0.78294081388161141</v>
      </c>
      <c r="I64" s="27">
        <f>C64-3</f>
        <v>92</v>
      </c>
      <c r="J64" s="31">
        <f>TDIST(ABS(H64),I64,2)</f>
        <v>0.43567264019008645</v>
      </c>
      <c r="K64" s="32">
        <v>1</v>
      </c>
      <c r="L64" s="33" t="s">
        <v>17</v>
      </c>
    </row>
    <row r="65" spans="1:1" x14ac:dyDescent="0.2">
      <c r="A65" s="25"/>
    </row>
    <row r="67" spans="1:1" x14ac:dyDescent="0.2">
      <c r="A67" s="5"/>
    </row>
    <row r="68" spans="1:1" x14ac:dyDescent="0.2">
      <c r="A68" s="6"/>
    </row>
    <row r="69" spans="1:1" x14ac:dyDescent="0.2">
      <c r="A69" s="25"/>
    </row>
    <row r="70" spans="1:1" x14ac:dyDescent="0.2">
      <c r="A70" s="25"/>
    </row>
    <row r="71" spans="1:1" x14ac:dyDescent="0.2">
      <c r="A71" s="25"/>
    </row>
    <row r="72" spans="1:1" x14ac:dyDescent="0.2">
      <c r="A72" s="25"/>
    </row>
    <row r="73" spans="1:1" x14ac:dyDescent="0.2">
      <c r="A73" s="37"/>
    </row>
    <row r="74" spans="1:1" x14ac:dyDescent="0.2">
      <c r="A74" s="6"/>
    </row>
    <row r="75" spans="1:1" x14ac:dyDescent="0.2">
      <c r="A75" s="6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6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3" width="29" customWidth="1"/>
    <col min="4" max="4" width="33" customWidth="1"/>
    <col min="5" max="5" width="27" customWidth="1"/>
    <col min="6" max="6" width="24" customWidth="1"/>
    <col min="7" max="7" width="29" customWidth="1"/>
    <col min="8" max="8" width="30" customWidth="1"/>
    <col min="9" max="9" width="34" customWidth="1"/>
    <col min="10" max="10" width="28" customWidth="1"/>
    <col min="11" max="11" width="25" customWidth="1"/>
    <col min="12" max="12" width="33" customWidth="1"/>
    <col min="13" max="13" width="34" customWidth="1"/>
    <col min="14" max="14" width="38" customWidth="1"/>
    <col min="15" max="15" width="32" customWidth="1"/>
    <col min="16" max="16" width="29" customWidth="1"/>
    <col min="17" max="17" width="34" customWidth="1"/>
    <col min="18" max="18" width="35" customWidth="1"/>
    <col min="19" max="19" width="39" customWidth="1"/>
    <col min="20" max="20" width="33" customWidth="1"/>
    <col min="21" max="21" width="30" customWidth="1"/>
    <col min="22" max="22" width="37" customWidth="1"/>
    <col min="23" max="23" width="38" customWidth="1"/>
    <col min="24" max="24" width="42" customWidth="1"/>
    <col min="25" max="25" width="36" customWidth="1"/>
    <col min="26" max="26" width="33" customWidth="1"/>
    <col min="27" max="27" width="38" customWidth="1"/>
    <col min="28" max="28" width="39" customWidth="1"/>
    <col min="29" max="29" width="43" customWidth="1"/>
    <col min="30" max="30" width="37" customWidth="1"/>
    <col min="31" max="31" width="34" customWidth="1"/>
    <col min="36" max="36" width="10.83203125" customWidth="1"/>
    <col min="37" max="37" width="14.5" customWidth="1"/>
  </cols>
  <sheetData>
    <row r="1" spans="1:37" x14ac:dyDescent="0.2">
      <c r="A1" s="20" t="s">
        <v>35</v>
      </c>
      <c r="B1" s="20" t="s">
        <v>84</v>
      </c>
      <c r="C1" s="20" t="s">
        <v>85</v>
      </c>
      <c r="D1" s="20" t="s">
        <v>86</v>
      </c>
      <c r="E1" s="20" t="s">
        <v>87</v>
      </c>
      <c r="F1" s="20" t="s">
        <v>88</v>
      </c>
      <c r="G1" s="20" t="s">
        <v>89</v>
      </c>
      <c r="H1" s="20" t="s">
        <v>90</v>
      </c>
      <c r="I1" s="20" t="s">
        <v>91</v>
      </c>
      <c r="J1" s="20" t="s">
        <v>92</v>
      </c>
      <c r="K1" s="20" t="s">
        <v>93</v>
      </c>
      <c r="L1" s="20" t="s">
        <v>94</v>
      </c>
      <c r="M1" s="20" t="s">
        <v>95</v>
      </c>
      <c r="N1" s="20" t="s">
        <v>96</v>
      </c>
      <c r="O1" s="20" t="s">
        <v>97</v>
      </c>
      <c r="P1" s="20" t="s">
        <v>98</v>
      </c>
      <c r="Q1" s="20" t="s">
        <v>99</v>
      </c>
      <c r="R1" s="20" t="s">
        <v>100</v>
      </c>
      <c r="S1" s="20" t="s">
        <v>101</v>
      </c>
      <c r="T1" s="20" t="s">
        <v>102</v>
      </c>
      <c r="U1" s="20" t="s">
        <v>103</v>
      </c>
      <c r="V1" s="26" t="s">
        <v>104</v>
      </c>
      <c r="W1" s="26" t="s">
        <v>105</v>
      </c>
      <c r="X1" s="26" t="s">
        <v>106</v>
      </c>
      <c r="Y1" s="26" t="s">
        <v>107</v>
      </c>
      <c r="Z1" s="26" t="s">
        <v>108</v>
      </c>
      <c r="AA1" s="26" t="s">
        <v>109</v>
      </c>
      <c r="AB1" s="26" t="s">
        <v>110</v>
      </c>
      <c r="AC1" s="26" t="s">
        <v>111</v>
      </c>
      <c r="AD1" s="26" t="s">
        <v>112</v>
      </c>
      <c r="AE1" s="26" t="s">
        <v>113</v>
      </c>
      <c r="AF1" s="20" t="s">
        <v>114</v>
      </c>
      <c r="AG1" s="20" t="s">
        <v>115</v>
      </c>
      <c r="AH1" s="20" t="s">
        <v>116</v>
      </c>
      <c r="AI1" s="20" t="s">
        <v>117</v>
      </c>
      <c r="AJ1" s="26" t="s">
        <v>118</v>
      </c>
      <c r="AK1" s="26" t="s">
        <v>119</v>
      </c>
    </row>
    <row r="2" spans="1:37" x14ac:dyDescent="0.2">
      <c r="A2" s="21">
        <v>10345</v>
      </c>
      <c r="B2" s="22">
        <f>('BFI Scores'!G2-'BFI Scores'!B2)^2</f>
        <v>0.765625</v>
      </c>
      <c r="C2" s="22">
        <f>('BFI Scores'!H2-'BFI Scores'!C2)^2</f>
        <v>5.0567901234566028E-3</v>
      </c>
      <c r="D2" s="22">
        <f>('BFI Scores'!I2-'BFI Scores'!D2)^2</f>
        <v>4.093877777777764</v>
      </c>
      <c r="E2" s="22">
        <f>('BFI Scores'!J2-'BFI Scores'!E2)^2</f>
        <v>0.12250000000000007</v>
      </c>
      <c r="F2" s="22">
        <f>('BFI Scores'!K2-'BFI Scores'!F2)^2</f>
        <v>0.17639999999999995</v>
      </c>
      <c r="G2" s="22">
        <f>('BFI Scores'!L2-'BFI Scores'!B2)^2</f>
        <v>0.62015625000000019</v>
      </c>
      <c r="H2" s="22">
        <f>('BFI Scores'!M2-'BFI Scores'!C2)^2</f>
        <v>0.21159999999999995</v>
      </c>
      <c r="I2" s="22">
        <f>('BFI Scores'!N2-'BFI Scores'!D2)^2</f>
        <v>2.2868160493827085</v>
      </c>
      <c r="J2" s="22">
        <f>('BFI Scores'!O2-'BFI Scores'!E2)^2</f>
        <v>5.6406250000000019E-2</v>
      </c>
      <c r="K2" s="22">
        <f>('BFI Scores'!P2-'BFI Scores'!F2)^2</f>
        <v>0.67239999999999978</v>
      </c>
      <c r="L2" s="22">
        <f>('BFI Scores'!Q2-'BFI Scores'!B2)^2</f>
        <v>0.18062499999999984</v>
      </c>
      <c r="M2" s="22">
        <f>('BFI Scores'!R2-'BFI Scores'!C2)^2</f>
        <v>5.6538271604939051E-2</v>
      </c>
      <c r="N2" s="22">
        <f>('BFI Scores'!S2-'BFI Scores'!D2)^2</f>
        <v>5.1428160493827244</v>
      </c>
      <c r="O2" s="22">
        <f>('BFI Scores'!T2-'BFI Scores'!E2)^2</f>
        <v>2.640625000000003E-2</v>
      </c>
      <c r="P2" s="22">
        <f>('BFI Scores'!U2-'BFI Scores'!F2)^2</f>
        <v>7.8400000000000136E-2</v>
      </c>
      <c r="Q2" s="22">
        <f>('BFI Scores'!V2-'BFI Scores'!B2)^2</f>
        <v>9.765625E-2</v>
      </c>
      <c r="R2" s="22">
        <f>('BFI Scores'!W2-'BFI Scores'!C2)^2</f>
        <v>1.1001679012345691</v>
      </c>
      <c r="S2" s="22">
        <f>('BFI Scores'!X2-'BFI Scores'!D2)^2</f>
        <v>7.6605938271605041</v>
      </c>
      <c r="T2" s="22">
        <f>('BFI Scores'!Y2-'BFI Scores'!E2)^2</f>
        <v>0.87890625</v>
      </c>
      <c r="U2" s="22">
        <f>('BFI Scores'!Z2-'BFI Scores'!F2)^2</f>
        <v>0.77439999999999987</v>
      </c>
      <c r="V2" s="29">
        <f>('BFI Scores'!AA2-'BFI Scores'!B2)^2</f>
        <v>0.62015625000000019</v>
      </c>
      <c r="W2" s="29">
        <f>('BFI Scores'!AB2-'BFI Scores'!C2)^2</f>
        <v>1.3353086419753976E-2</v>
      </c>
      <c r="X2" s="29">
        <f>('BFI Scores'!AC2-'BFI Scores'!D2)^2</f>
        <v>7.0578777777777946</v>
      </c>
      <c r="Y2" s="29">
        <f>('BFI Scores'!AD2-'BFI Scores'!E2)^2</f>
        <v>3.515625E-2</v>
      </c>
      <c r="Z2" s="29">
        <f>('BFI Scores'!AE2-'BFI Scores'!F2)^2</f>
        <v>9.9999999999999291E-3</v>
      </c>
      <c r="AA2" s="29">
        <f>('BFI Scores'!AF2-'BFI Scores'!B2)^2</f>
        <v>1.5625000000000445E-4</v>
      </c>
      <c r="AB2" s="29">
        <f>('BFI Scores'!AG2-'BFI Scores'!C2)^2</f>
        <v>0.57759999999999967</v>
      </c>
      <c r="AC2" s="29">
        <f>('BFI Scores'!AH2-'BFI Scores'!D2)^2</f>
        <v>5.5538777777777915</v>
      </c>
      <c r="AD2" s="29">
        <f>('BFI Scores'!AI2-'BFI Scores'!E2)^2</f>
        <v>7.6562499999999842E-3</v>
      </c>
      <c r="AE2" s="29">
        <f>('BFI Scores'!AJ2-'BFI Scores'!F2)^2</f>
        <v>1.0200999999999996</v>
      </c>
      <c r="AF2" s="23">
        <f t="shared" ref="AF2:AF33" si="0">AVERAGE(B2:F2)</f>
        <v>1.0326919135802444</v>
      </c>
      <c r="AG2" s="23">
        <f t="shared" ref="AG2:AG33" si="1">AVERAGE(G2:K2)</f>
        <v>0.76947570987654168</v>
      </c>
      <c r="AH2" s="23">
        <f t="shared" ref="AH2:AH33" si="2">AVERAGE(L2:P2)</f>
        <v>1.0969571141975327</v>
      </c>
      <c r="AI2" s="23">
        <f t="shared" ref="AI2:AI33" si="3">AVERAGE(Q2:U2)</f>
        <v>2.1023448456790144</v>
      </c>
      <c r="AJ2" s="30">
        <f t="shared" ref="AJ2:AJ33" si="4">AVERAGE(V2:Z2)</f>
        <v>1.5473086728395098</v>
      </c>
      <c r="AK2" s="30">
        <f t="shared" ref="AK2:AK33" si="5">AVERAGE(AA2:AE2)</f>
        <v>1.4318780555555581</v>
      </c>
    </row>
    <row r="3" spans="1:37" x14ac:dyDescent="0.2">
      <c r="A3" s="21">
        <v>11492</v>
      </c>
      <c r="B3" s="22">
        <f>('BFI Scores'!G3-'BFI Scores'!B3)^2</f>
        <v>0.11390625000000024</v>
      </c>
      <c r="C3" s="22">
        <f>('BFI Scores'!H3-'BFI Scores'!C3)^2</f>
        <v>0</v>
      </c>
      <c r="D3" s="22">
        <f>('BFI Scores'!I3-'BFI Scores'!D3)^2</f>
        <v>1.4667901234567873</v>
      </c>
      <c r="E3" s="22">
        <f>('BFI Scores'!J3-'BFI Scores'!E3)^2</f>
        <v>1.8906249999999989E-2</v>
      </c>
      <c r="F3" s="22">
        <f>('BFI Scores'!K3-'BFI Scores'!F3)^2</f>
        <v>1.768899999999999</v>
      </c>
      <c r="G3" s="22">
        <f>('BFI Scores'!L3-'BFI Scores'!B3)^2</f>
        <v>0.17015625000000006</v>
      </c>
      <c r="H3" s="22">
        <f>('BFI Scores'!M3-'BFI Scores'!C3)^2</f>
        <v>0.83012345679012078</v>
      </c>
      <c r="I3" s="22">
        <f>('BFI Scores'!N3-'BFI Scores'!D3)^2</f>
        <v>0.42975308641974536</v>
      </c>
      <c r="J3" s="22">
        <f>('BFI Scores'!O3-'BFI Scores'!E3)^2</f>
        <v>3.0625000000000017E-2</v>
      </c>
      <c r="K3" s="22">
        <f>('BFI Scores'!P3-'BFI Scores'!F3)^2</f>
        <v>2.8899999999999992</v>
      </c>
      <c r="L3" s="22">
        <f>('BFI Scores'!Q3-'BFI Scores'!B3)^2</f>
        <v>2.4999999999999823E-3</v>
      </c>
      <c r="M3" s="22">
        <f>('BFI Scores'!R3-'BFI Scores'!C3)^2</f>
        <v>0.19753086419752708</v>
      </c>
      <c r="N3" s="22">
        <f>('BFI Scores'!S3-'BFI Scores'!D3)^2</f>
        <v>3.567901234567906</v>
      </c>
      <c r="O3" s="22">
        <f>('BFI Scores'!T3-'BFI Scores'!E3)^2</f>
        <v>1.9599999999999997</v>
      </c>
      <c r="P3" s="22">
        <f>('BFI Scores'!U3-'BFI Scores'!F3)^2</f>
        <v>1.1024999999999996</v>
      </c>
      <c r="Q3" s="22">
        <f>('BFI Scores'!V3-'BFI Scores'!B3)^2</f>
        <v>0.9025000000000003</v>
      </c>
      <c r="R3" s="22">
        <f>('BFI Scores'!W3-'BFI Scores'!C3)^2</f>
        <v>1.1856790123456813</v>
      </c>
      <c r="S3" s="22">
        <f>('BFI Scores'!X3-'BFI Scores'!D3)^2</f>
        <v>1.3611111111111192</v>
      </c>
      <c r="T3" s="22">
        <f>('BFI Scores'!Y3-'BFI Scores'!E3)^2</f>
        <v>5.46390625</v>
      </c>
      <c r="U3" s="22">
        <f>('BFI Scores'!Z3-'BFI Scores'!F3)^2</f>
        <v>2.7555999999999989</v>
      </c>
      <c r="V3" s="29">
        <f>('BFI Scores'!AA3-'BFI Scores'!B3)^2</f>
        <v>0.72249999999999936</v>
      </c>
      <c r="W3" s="29">
        <f>('BFI Scores'!AB3-'BFI Scores'!C3)^2</f>
        <v>4.9382716049374466E-4</v>
      </c>
      <c r="X3" s="29">
        <f>('BFI Scores'!AC3-'BFI Scores'!D3)^2</f>
        <v>3.3611111111110987</v>
      </c>
      <c r="Y3" s="29">
        <f>('BFI Scores'!AD3-'BFI Scores'!E3)^2</f>
        <v>3.0625000000000017E-2</v>
      </c>
      <c r="Z3" s="29">
        <f>('BFI Scores'!AE3-'BFI Scores'!F3)^2</f>
        <v>2.2800999999999996</v>
      </c>
      <c r="AA3" s="29">
        <f>('BFI Scores'!AF3-'BFI Scores'!B3)^2</f>
        <v>1.5625000000000445E-4</v>
      </c>
      <c r="AB3" s="29">
        <f>('BFI Scores'!AG3-'BFI Scores'!C3)^2</f>
        <v>0.97790123456790312</v>
      </c>
      <c r="AC3" s="29">
        <f>('BFI Scores'!AH3-'BFI Scores'!D3)^2</f>
        <v>2.0227160493827094</v>
      </c>
      <c r="AD3" s="29">
        <f>('BFI Scores'!AI3-'BFI Scores'!E3)^2</f>
        <v>1.265625000000001E-2</v>
      </c>
      <c r="AE3" s="29">
        <f>('BFI Scores'!AJ3-'BFI Scores'!F3)^2</f>
        <v>3.4595999999999978</v>
      </c>
      <c r="AF3" s="23">
        <f t="shared" si="0"/>
        <v>0.67370052469135733</v>
      </c>
      <c r="AG3" s="23">
        <f t="shared" si="1"/>
        <v>0.87013155864197311</v>
      </c>
      <c r="AH3" s="23">
        <f t="shared" si="2"/>
        <v>1.3660864197530866</v>
      </c>
      <c r="AI3" s="23">
        <f t="shared" si="3"/>
        <v>2.33375927469136</v>
      </c>
      <c r="AJ3" s="30">
        <f t="shared" si="4"/>
        <v>1.2789659876543182</v>
      </c>
      <c r="AK3" s="30">
        <f t="shared" si="5"/>
        <v>1.294605956790122</v>
      </c>
    </row>
    <row r="4" spans="1:37" x14ac:dyDescent="0.2">
      <c r="A4" s="21">
        <v>12178</v>
      </c>
      <c r="B4" s="22">
        <f>('BFI Scores'!G4-'BFI Scores'!B4)^2</f>
        <v>2.2126562499999993</v>
      </c>
      <c r="C4" s="22">
        <f>('BFI Scores'!H4-'BFI Scores'!C4)^2</f>
        <v>4.8399999999999888E-2</v>
      </c>
      <c r="D4" s="22">
        <f>('BFI Scores'!I4-'BFI Scores'!D4)^2</f>
        <v>3.1604938271605012</v>
      </c>
      <c r="E4" s="22">
        <f>('BFI Scores'!J4-'BFI Scores'!E4)^2</f>
        <v>1.1024999999999997E-2</v>
      </c>
      <c r="F4" s="22">
        <f>('BFI Scores'!K4-'BFI Scores'!F4)^2</f>
        <v>0.44889999999999991</v>
      </c>
      <c r="G4" s="22">
        <f>('BFI Scores'!L4-'BFI Scores'!B4)^2</f>
        <v>0.52562500000000012</v>
      </c>
      <c r="H4" s="22">
        <f>('BFI Scores'!M4-'BFI Scores'!C4)^2</f>
        <v>0.37074567901234695</v>
      </c>
      <c r="I4" s="22">
        <f>('BFI Scores'!N4-'BFI Scores'!D4)^2</f>
        <v>0.15123456790123557</v>
      </c>
      <c r="J4" s="22">
        <f>('BFI Scores'!O4-'BFI Scores'!E4)^2</f>
        <v>0.17430625</v>
      </c>
      <c r="K4" s="22">
        <f>('BFI Scores'!P4-'BFI Scores'!F4)^2</f>
        <v>0.72250000000000014</v>
      </c>
      <c r="L4" s="22">
        <f>('BFI Scores'!Q4-'BFI Scores'!B4)^2</f>
        <v>5.5224999999999982</v>
      </c>
      <c r="M4" s="22">
        <f>('BFI Scores'!R4-'BFI Scores'!C4)^2</f>
        <v>3.8590419753086622</v>
      </c>
      <c r="N4" s="22">
        <f>('BFI Scores'!S4-'BFI Scores'!D4)^2</f>
        <v>5.0875308641975066</v>
      </c>
      <c r="O4" s="22">
        <f>('BFI Scores'!T4-'BFI Scores'!E4)^2</f>
        <v>2.6244000000000005</v>
      </c>
      <c r="P4" s="22">
        <f>('BFI Scores'!U4-'BFI Scores'!F4)^2</f>
        <v>1.0404</v>
      </c>
      <c r="Q4" s="22">
        <f>('BFI Scores'!V4-'BFI Scores'!B4)^2</f>
        <v>3.5626562500000007</v>
      </c>
      <c r="R4" s="22">
        <f>('BFI Scores'!W4-'BFI Scores'!C4)^2</f>
        <v>4.2619308641975522</v>
      </c>
      <c r="S4" s="22">
        <f>('BFI Scores'!X4-'BFI Scores'!D4)^2</f>
        <v>1.8075308641975192</v>
      </c>
      <c r="T4" s="22">
        <f>('BFI Scores'!Y4-'BFI Scores'!E4)^2</f>
        <v>0.61230625000000027</v>
      </c>
      <c r="U4" s="22">
        <f>('BFI Scores'!Z4-'BFI Scores'!F4)^2</f>
        <v>1.2100000000000002</v>
      </c>
      <c r="V4" s="29">
        <f>('BFI Scores'!AA4-'BFI Scores'!B4)^2</f>
        <v>2.640625</v>
      </c>
      <c r="W4" s="29">
        <f>('BFI Scores'!AB4-'BFI Scores'!C4)^2</f>
        <v>0.12484444444444205</v>
      </c>
      <c r="X4" s="29">
        <f>('BFI Scores'!AC4-'BFI Scores'!D4)^2</f>
        <v>4.9877777777777625</v>
      </c>
      <c r="Y4" s="29">
        <f>('BFI Scores'!AD4-'BFI Scores'!E4)^2</f>
        <v>0.36905624999999992</v>
      </c>
      <c r="Z4" s="29">
        <f>('BFI Scores'!AE4-'BFI Scores'!F4)^2</f>
        <v>0.53289999999999993</v>
      </c>
      <c r="AA4" s="29">
        <f>('BFI Scores'!AF4-'BFI Scores'!B4)^2</f>
        <v>1.5314062499999996</v>
      </c>
      <c r="AB4" s="29">
        <f>('BFI Scores'!AG4-'BFI Scores'!C4)^2</f>
        <v>1.0862271604938225</v>
      </c>
      <c r="AC4" s="29">
        <f>('BFI Scores'!AH4-'BFI Scores'!D4)^2</f>
        <v>0.50567901234567791</v>
      </c>
      <c r="AD4" s="29">
        <f>('BFI Scores'!AI4-'BFI Scores'!E4)^2</f>
        <v>3.0249999999999687E-3</v>
      </c>
      <c r="AE4" s="29">
        <f>('BFI Scores'!AJ4-'BFI Scores'!F4)^2</f>
        <v>0.2401000000000002</v>
      </c>
      <c r="AF4" s="23">
        <f t="shared" si="0"/>
        <v>1.1762950154321001</v>
      </c>
      <c r="AG4" s="23">
        <f t="shared" si="1"/>
        <v>0.38888229938271657</v>
      </c>
      <c r="AH4" s="23">
        <f t="shared" si="2"/>
        <v>3.6267745679012338</v>
      </c>
      <c r="AI4" s="23">
        <f t="shared" si="3"/>
        <v>2.2908848456790145</v>
      </c>
      <c r="AJ4" s="30">
        <f t="shared" si="4"/>
        <v>1.731040694444441</v>
      </c>
      <c r="AK4" s="30">
        <f t="shared" si="5"/>
        <v>0.67328748456790011</v>
      </c>
    </row>
    <row r="5" spans="1:37" x14ac:dyDescent="0.2">
      <c r="A5" s="21">
        <v>16042</v>
      </c>
      <c r="B5" s="22">
        <f>('BFI Scores'!G5-'BFI Scores'!B5)^2</f>
        <v>0.89302500000000051</v>
      </c>
      <c r="C5" s="22">
        <f>('BFI Scores'!H5-'BFI Scores'!C5)^2</f>
        <v>8.3012345679010779E-3</v>
      </c>
      <c r="D5" s="22">
        <f>('BFI Scores'!I5-'BFI Scores'!D5)^2</f>
        <v>0.57254444444444874</v>
      </c>
      <c r="E5" s="22">
        <f>('BFI Scores'!J5-'BFI Scores'!E5)^2</f>
        <v>0.11730624999999986</v>
      </c>
      <c r="F5" s="22">
        <f>('BFI Scores'!K5-'BFI Scores'!F5)^2</f>
        <v>0.12959999999999991</v>
      </c>
      <c r="G5" s="22">
        <f>('BFI Scores'!L5-'BFI Scores'!B5)^2</f>
        <v>9.4556250000000064E-2</v>
      </c>
      <c r="H5" s="22">
        <f>('BFI Scores'!M5-'BFI Scores'!C5)^2</f>
        <v>7.230123456790187E-2</v>
      </c>
      <c r="I5" s="22">
        <f>('BFI Scores'!N5-'BFI Scores'!D5)^2</f>
        <v>1.1880999999999997</v>
      </c>
      <c r="J5" s="22">
        <f>('BFI Scores'!O5-'BFI Scores'!E5)^2</f>
        <v>1.1556250000000032E-2</v>
      </c>
      <c r="K5" s="22">
        <f>('BFI Scores'!P5-'BFI Scores'!F5)^2</f>
        <v>4.4099999999999986E-2</v>
      </c>
      <c r="L5" s="22">
        <f>('BFI Scores'!Q5-'BFI Scores'!B5)^2</f>
        <v>1.3688999999999998</v>
      </c>
      <c r="M5" s="22">
        <f>('BFI Scores'!R5-'BFI Scores'!C5)^2</f>
        <v>0.15296790123456711</v>
      </c>
      <c r="N5" s="22">
        <f>('BFI Scores'!S5-'BFI Scores'!D5)^2</f>
        <v>0.79209999999999947</v>
      </c>
      <c r="O5" s="22">
        <f>('BFI Scores'!T5-'BFI Scores'!E5)^2</f>
        <v>2.4999999999998934E-5</v>
      </c>
      <c r="P5" s="22">
        <f>('BFI Scores'!U5-'BFI Scores'!F5)^2</f>
        <v>0.37209999999999988</v>
      </c>
      <c r="Q5" s="22">
        <f>('BFI Scores'!V5-'BFI Scores'!B5)^2</f>
        <v>0.13690000000000008</v>
      </c>
      <c r="R5" s="22">
        <f>('BFI Scores'!W5-'BFI Scores'!C5)^2</f>
        <v>1.5820049382716113</v>
      </c>
      <c r="S5" s="22">
        <f>('BFI Scores'!X5-'BFI Scores'!D5)^2</f>
        <v>7.5380753086419983</v>
      </c>
      <c r="T5" s="22">
        <f>('BFI Scores'!Y5-'BFI Scores'!E5)^2</f>
        <v>1.3110250000000001</v>
      </c>
      <c r="U5" s="22">
        <f>('BFI Scores'!Z5-'BFI Scores'!F5)^2</f>
        <v>0.53289999999999993</v>
      </c>
      <c r="V5" s="29">
        <f>('BFI Scores'!AA5-'BFI Scores'!B5)^2</f>
        <v>1.5500250000000002</v>
      </c>
      <c r="W5" s="29">
        <f>('BFI Scores'!AB5-'BFI Scores'!C5)^2</f>
        <v>9.6790123456781695E-4</v>
      </c>
      <c r="X5" s="29">
        <f>('BFI Scores'!AC5-'BFI Scores'!D5)^2</f>
        <v>0.60666790123456937</v>
      </c>
      <c r="Y5" s="29">
        <f>('BFI Scores'!AD5-'BFI Scores'!E5)^2</f>
        <v>0.14439999999999992</v>
      </c>
      <c r="Z5" s="29">
        <f>('BFI Scores'!AE5-'BFI Scores'!F5)^2</f>
        <v>0.12250000000000007</v>
      </c>
      <c r="AA5" s="29">
        <f>('BFI Scores'!AF5-'BFI Scores'!B5)^2</f>
        <v>0.73530624999999983</v>
      </c>
      <c r="AB5" s="29">
        <f>('BFI Scores'!AG5-'BFI Scores'!C5)^2</f>
        <v>0.12800493827160683</v>
      </c>
      <c r="AC5" s="29">
        <f>('BFI Scores'!AH5-'BFI Scores'!D5)^2</f>
        <v>3.1250382716049447</v>
      </c>
      <c r="AD5" s="29">
        <f>('BFI Scores'!AI5-'BFI Scores'!E5)^2</f>
        <v>1.4400000000000026E-2</v>
      </c>
      <c r="AE5" s="29">
        <f>('BFI Scores'!AJ5-'BFI Scores'!F5)^2</f>
        <v>5.2899999999999989E-2</v>
      </c>
      <c r="AF5" s="23">
        <f t="shared" si="0"/>
        <v>0.34415538580247007</v>
      </c>
      <c r="AG5" s="23">
        <f t="shared" si="1"/>
        <v>0.2821227469135803</v>
      </c>
      <c r="AH5" s="23">
        <f t="shared" si="2"/>
        <v>0.53721858024691327</v>
      </c>
      <c r="AI5" s="23">
        <f t="shared" si="3"/>
        <v>2.2201810493827221</v>
      </c>
      <c r="AJ5" s="30">
        <f t="shared" si="4"/>
        <v>0.48491216049382746</v>
      </c>
      <c r="AK5" s="30">
        <f t="shared" si="5"/>
        <v>0.81112989197531038</v>
      </c>
    </row>
    <row r="6" spans="1:37" x14ac:dyDescent="0.2">
      <c r="A6" s="21">
        <v>16234</v>
      </c>
      <c r="B6" s="22">
        <f>('BFI Scores'!G6-'BFI Scores'!B6)^2</f>
        <v>0.31080625000000012</v>
      </c>
      <c r="C6" s="22">
        <f>('BFI Scores'!H6-'BFI Scores'!C6)^2</f>
        <v>2.6714086419753249</v>
      </c>
      <c r="D6" s="22">
        <f>('BFI Scores'!I6-'BFI Scores'!D6)^2</f>
        <v>0.66513086419752154</v>
      </c>
      <c r="E6" s="22">
        <f>('BFI Scores'!J6-'BFI Scores'!E6)^2</f>
        <v>7.91015625</v>
      </c>
      <c r="F6" s="22">
        <f>('BFI Scores'!K6-'BFI Scores'!F6)^2</f>
        <v>2.2201000000000009</v>
      </c>
      <c r="G6" s="22">
        <f>('BFI Scores'!L6-'BFI Scores'!B6)^2</f>
        <v>0.29702499999999993</v>
      </c>
      <c r="H6" s="22">
        <f>('BFI Scores'!M6-'BFI Scores'!C6)^2</f>
        <v>2.7078530864197665</v>
      </c>
      <c r="I6" s="22">
        <f>('BFI Scores'!N6-'BFI Scores'!D6)^2</f>
        <v>0.77831604938271182</v>
      </c>
      <c r="J6" s="22">
        <f>('BFI Scores'!O6-'BFI Scores'!E6)^2</f>
        <v>7.91015625</v>
      </c>
      <c r="K6" s="22">
        <f>('BFI Scores'!P6-'BFI Scores'!F6)^2</f>
        <v>0.51840000000000031</v>
      </c>
      <c r="L6" s="22">
        <f>('BFI Scores'!Q6-'BFI Scores'!B6)^2</f>
        <v>1.3398062500000005</v>
      </c>
      <c r="M6" s="22">
        <f>('BFI Scores'!R6-'BFI Scores'!C6)^2</f>
        <v>1.72192716049382</v>
      </c>
      <c r="N6" s="22">
        <f>('BFI Scores'!S6-'BFI Scores'!D6)^2</f>
        <v>0.36535308641974706</v>
      </c>
      <c r="O6" s="22">
        <f>('BFI Scores'!T6-'BFI Scores'!E6)^2</f>
        <v>4.41</v>
      </c>
      <c r="P6" s="22">
        <f>('BFI Scores'!U6-'BFI Scores'!F6)^2</f>
        <v>2.0449000000000006</v>
      </c>
      <c r="Q6" s="22">
        <f>('BFI Scores'!V6-'BFI Scores'!B6)^2</f>
        <v>2.5840562499999997</v>
      </c>
      <c r="R6" s="22">
        <f>('BFI Scores'!W6-'BFI Scores'!C6)^2</f>
        <v>4.1389641975308447</v>
      </c>
      <c r="S6" s="22">
        <f>('BFI Scores'!X6-'BFI Scores'!D6)^2</f>
        <v>2.3647604938271662</v>
      </c>
      <c r="T6" s="22">
        <f>('BFI Scores'!Y6-'BFI Scores'!E6)^2</f>
        <v>12.075624999999997</v>
      </c>
      <c r="U6" s="22">
        <f>('BFI Scores'!Z6-'BFI Scores'!F6)^2</f>
        <v>1.1664000000000001</v>
      </c>
      <c r="V6" s="29">
        <f>('BFI Scores'!AA6-'BFI Scores'!B6)^2</f>
        <v>0.82355625000000032</v>
      </c>
      <c r="W6" s="29">
        <f>('BFI Scores'!AB6-'BFI Scores'!C6)^2</f>
        <v>2.1543716049382775</v>
      </c>
      <c r="X6" s="29">
        <f>('BFI Scores'!AC6-'BFI Scores'!D6)^2</f>
        <v>1.1953777777777699</v>
      </c>
      <c r="Y6" s="29">
        <f>('BFI Scores'!AD6-'BFI Scores'!E6)^2</f>
        <v>7.0225</v>
      </c>
      <c r="Z6" s="29">
        <f>('BFI Scores'!AE6-'BFI Scores'!F6)^2</f>
        <v>1.9599999999999997</v>
      </c>
      <c r="AA6" s="29">
        <f>('BFI Scores'!AF6-'BFI Scores'!B6)^2</f>
        <v>2.0520562500000001</v>
      </c>
      <c r="AB6" s="29">
        <f>('BFI Scores'!AG6-'BFI Scores'!C6)^2</f>
        <v>3.6992111111110977</v>
      </c>
      <c r="AC6" s="29">
        <f>('BFI Scores'!AH6-'BFI Scores'!D6)^2</f>
        <v>2.3990567901234585</v>
      </c>
      <c r="AD6" s="29">
        <f>('BFI Scores'!AI6-'BFI Scores'!E6)^2</f>
        <v>10.643906250000001</v>
      </c>
      <c r="AE6" s="29">
        <f>('BFI Scores'!AJ6-'BFI Scores'!F6)^2</f>
        <v>0.39689999999999986</v>
      </c>
      <c r="AF6" s="23">
        <f t="shared" si="0"/>
        <v>2.7555204012345693</v>
      </c>
      <c r="AG6" s="23">
        <f t="shared" si="1"/>
        <v>2.4423500771604956</v>
      </c>
      <c r="AH6" s="23">
        <f t="shared" si="2"/>
        <v>1.9763972993827135</v>
      </c>
      <c r="AI6" s="23">
        <f t="shared" si="3"/>
        <v>4.465961188271601</v>
      </c>
      <c r="AJ6" s="30">
        <f t="shared" si="4"/>
        <v>2.6311611265432093</v>
      </c>
      <c r="AK6" s="30">
        <f t="shared" si="5"/>
        <v>3.838226080246911</v>
      </c>
    </row>
    <row r="7" spans="1:37" x14ac:dyDescent="0.2">
      <c r="A7" s="21">
        <v>17304</v>
      </c>
      <c r="B7" s="22">
        <f>('BFI Scores'!G7-'BFI Scores'!B7)^2</f>
        <v>0.10562500000000012</v>
      </c>
      <c r="C7" s="22">
        <f>('BFI Scores'!H7-'BFI Scores'!C7)^2</f>
        <v>3.694938271604864E-2</v>
      </c>
      <c r="D7" s="22">
        <f>('BFI Scores'!I7-'BFI Scores'!D7)^2</f>
        <v>5.5068444444444609</v>
      </c>
      <c r="E7" s="22">
        <f>('BFI Scores'!J7-'BFI Scores'!E7)^2</f>
        <v>8.9999999999998827E-4</v>
      </c>
      <c r="F7" s="22">
        <f>('BFI Scores'!K7-'BFI Scores'!F7)^2</f>
        <v>1.4399999999999993</v>
      </c>
      <c r="G7" s="22">
        <f>('BFI Scores'!L7-'BFI Scores'!B7)^2</f>
        <v>0.25</v>
      </c>
      <c r="H7" s="22">
        <f>('BFI Scores'!M7-'BFI Scores'!C7)^2</f>
        <v>1.4134567901234763E-2</v>
      </c>
      <c r="I7" s="22">
        <f>('BFI Scores'!N7-'BFI Scores'!D7)^2</f>
        <v>2.1511111111109239E-2</v>
      </c>
      <c r="J7" s="22">
        <f>('BFI Scores'!O7-'BFI Scores'!E7)^2</f>
        <v>3.024999999999993E-3</v>
      </c>
      <c r="K7" s="22">
        <f>('BFI Scores'!P7-'BFI Scores'!F7)^2</f>
        <v>1.8768999999999991</v>
      </c>
      <c r="L7" s="22">
        <f>('BFI Scores'!Q7-'BFI Scores'!B7)^2</f>
        <v>1.2656249999999959E-2</v>
      </c>
      <c r="M7" s="22">
        <f>('BFI Scores'!R7-'BFI Scores'!C7)^2</f>
        <v>0.44889999999999991</v>
      </c>
      <c r="N7" s="22">
        <f>('BFI Scores'!S7-'BFI Scores'!D7)^2</f>
        <v>6.5991901234567978</v>
      </c>
      <c r="O7" s="22">
        <f>('BFI Scores'!T7-'BFI Scores'!E7)^2</f>
        <v>0.20930625000000003</v>
      </c>
      <c r="P7" s="22">
        <f>('BFI Scores'!U7-'BFI Scores'!F7)^2</f>
        <v>2.9583999999999993</v>
      </c>
      <c r="Q7" s="22">
        <f>('BFI Scores'!V7-'BFI Scores'!B7)^2</f>
        <v>0.87890625</v>
      </c>
      <c r="R7" s="22">
        <f>('BFI Scores'!W7-'BFI Scores'!C7)^2</f>
        <v>7.2899999999999771E-2</v>
      </c>
      <c r="S7" s="22">
        <f>('BFI Scores'!X7-'BFI Scores'!D7)^2</f>
        <v>3.8328938271605026</v>
      </c>
      <c r="T7" s="22">
        <f>('BFI Scores'!Y7-'BFI Scores'!E7)^2</f>
        <v>5.6250000000000934E-5</v>
      </c>
      <c r="U7" s="22">
        <f>('BFI Scores'!Z7-'BFI Scores'!F7)^2</f>
        <v>3.0275999999999992</v>
      </c>
      <c r="V7" s="29">
        <f>('BFI Scores'!AA7-'BFI Scores'!B7)^2</f>
        <v>5.0625000000000038E-2</v>
      </c>
      <c r="W7" s="29">
        <f>('BFI Scores'!AB7-'BFI Scores'!C7)^2</f>
        <v>0.20050493827160717</v>
      </c>
      <c r="X7" s="29">
        <f>('BFI Scores'!AC7-'BFI Scores'!D7)^2</f>
        <v>6.7715604938271516</v>
      </c>
      <c r="Y7" s="29">
        <f>('BFI Scores'!AD7-'BFI Scores'!E7)^2</f>
        <v>0.40005625000000034</v>
      </c>
      <c r="Z7" s="29">
        <f>('BFI Scores'!AE7-'BFI Scores'!F7)^2</f>
        <v>1.1663999999999992</v>
      </c>
      <c r="AA7" s="29">
        <f>('BFI Scores'!AF7-'BFI Scores'!B7)^2</f>
        <v>1.0506250000000008</v>
      </c>
      <c r="AB7" s="29">
        <f>('BFI Scores'!AG7-'BFI Scores'!C7)^2</f>
        <v>0.18109753086420124</v>
      </c>
      <c r="AC7" s="29">
        <f>('BFI Scores'!AH7-'BFI Scores'!D7)^2</f>
        <v>0.43267160493827483</v>
      </c>
      <c r="AD7" s="29">
        <f>('BFI Scores'!AI7-'BFI Scores'!E7)^2</f>
        <v>4.7306249999999918E-2</v>
      </c>
      <c r="AE7" s="29">
        <f>('BFI Scores'!AJ7-'BFI Scores'!F7)^2</f>
        <v>2.3408999999999995</v>
      </c>
      <c r="AF7" s="23">
        <f t="shared" si="0"/>
        <v>1.4180637654321018</v>
      </c>
      <c r="AG7" s="23">
        <f t="shared" si="1"/>
        <v>0.4331141358024686</v>
      </c>
      <c r="AH7" s="23">
        <f t="shared" si="2"/>
        <v>2.0456905246913593</v>
      </c>
      <c r="AI7" s="23">
        <f t="shared" si="3"/>
        <v>1.5624712654321005</v>
      </c>
      <c r="AJ7" s="30">
        <f t="shared" si="4"/>
        <v>1.7178293364197519</v>
      </c>
      <c r="AK7" s="30">
        <f t="shared" si="5"/>
        <v>0.81052007716049523</v>
      </c>
    </row>
    <row r="8" spans="1:37" x14ac:dyDescent="0.2">
      <c r="A8" s="21">
        <v>18724</v>
      </c>
      <c r="B8" s="22">
        <f>('BFI Scores'!G8-'BFI Scores'!B8)^2</f>
        <v>5.6250000000004261E-5</v>
      </c>
      <c r="C8" s="22">
        <f>('BFI Scores'!H8-'BFI Scores'!C8)^2</f>
        <v>0.32111111111111484</v>
      </c>
      <c r="D8" s="22">
        <f>('BFI Scores'!I8-'BFI Scores'!D8)^2</f>
        <v>0.67787777777777247</v>
      </c>
      <c r="E8" s="22">
        <f>('BFI Scores'!J8-'BFI Scores'!E8)^2</f>
        <v>2.3408999999999995</v>
      </c>
      <c r="F8" s="22">
        <f>('BFI Scores'!K8-'BFI Scores'!F8)^2</f>
        <v>0.98010000000000042</v>
      </c>
      <c r="G8" s="22">
        <f>('BFI Scores'!L8-'BFI Scores'!B8)^2</f>
        <v>2.4024999999999939E-2</v>
      </c>
      <c r="H8" s="22">
        <f>('BFI Scores'!M8-'BFI Scores'!C8)^2</f>
        <v>0.6579012345678994</v>
      </c>
      <c r="I8" s="22">
        <f>('BFI Scores'!N8-'BFI Scores'!D8)^2</f>
        <v>3.2111111111115111E-3</v>
      </c>
      <c r="J8" s="22">
        <f>('BFI Scores'!O8-'BFI Scores'!E8)^2</f>
        <v>2.0448999999999997</v>
      </c>
      <c r="K8" s="22">
        <f>('BFI Scores'!P8-'BFI Scores'!F8)^2</f>
        <v>0.31360000000000005</v>
      </c>
      <c r="L8" s="22">
        <f>('BFI Scores'!Q8-'BFI Scores'!B8)^2</f>
        <v>1.8769000000000002</v>
      </c>
      <c r="M8" s="22">
        <f>('BFI Scores'!R8-'BFI Scores'!C8)^2</f>
        <v>1.0223456790123437</v>
      </c>
      <c r="N8" s="22">
        <f>('BFI Scores'!S8-'BFI Scores'!D8)^2</f>
        <v>0.60666790123457004</v>
      </c>
      <c r="O8" s="22">
        <f>('BFI Scores'!T8-'BFI Scores'!E8)^2</f>
        <v>2.1903999999999999</v>
      </c>
      <c r="P8" s="22">
        <f>('BFI Scores'!U8-'BFI Scores'!F8)^2</f>
        <v>1.4400000000000026E-2</v>
      </c>
      <c r="Q8" s="22">
        <f>('BFI Scores'!V8-'BFI Scores'!B8)^2</f>
        <v>0.38440000000000013</v>
      </c>
      <c r="R8" s="22">
        <f>('BFI Scores'!W8-'BFI Scores'!C8)^2</f>
        <v>0.38716049382715773</v>
      </c>
      <c r="S8" s="22">
        <f>('BFI Scores'!X8-'BFI Scores'!D8)^2</f>
        <v>0.75303827160494252</v>
      </c>
      <c r="T8" s="22">
        <f>('BFI Scores'!Y8-'BFI Scores'!E8)^2</f>
        <v>0.26780625000000008</v>
      </c>
      <c r="U8" s="22">
        <f>('BFI Scores'!Z8-'BFI Scores'!F8)^2</f>
        <v>8.99999999999999E-2</v>
      </c>
      <c r="V8" s="29">
        <f>('BFI Scores'!AA8-'BFI Scores'!B8)^2</f>
        <v>0.31080625000000012</v>
      </c>
      <c r="W8" s="29">
        <f>('BFI Scores'!AB8-'BFI Scores'!C8)^2</f>
        <v>0.60493827160494162</v>
      </c>
      <c r="X8" s="29">
        <f>('BFI Scores'!AC8-'BFI Scores'!D8)^2</f>
        <v>0.85254444444443866</v>
      </c>
      <c r="Y8" s="29">
        <f>('BFI Scores'!AD8-'BFI Scores'!E8)^2</f>
        <v>1.9390562499999995</v>
      </c>
      <c r="Z8" s="29">
        <f>('BFI Scores'!AE8-'BFI Scores'!F8)^2</f>
        <v>0.82810000000000028</v>
      </c>
      <c r="AA8" s="29">
        <f>('BFI Scores'!AF8-'BFI Scores'!B8)^2</f>
        <v>2.4999999999998934E-5</v>
      </c>
      <c r="AB8" s="29">
        <f>('BFI Scores'!AG8-'BFI Scores'!C8)^2</f>
        <v>0.60493827160494162</v>
      </c>
      <c r="AC8" s="29">
        <f>('BFI Scores'!AH8-'BFI Scores'!D8)^2</f>
        <v>0.75303827160494252</v>
      </c>
      <c r="AD8" s="29">
        <f>('BFI Scores'!AI8-'BFI Scores'!E8)^2</f>
        <v>1.9043999999999996</v>
      </c>
      <c r="AE8" s="29">
        <f>('BFI Scores'!AJ8-'BFI Scores'!F8)^2</f>
        <v>0.47609999999999991</v>
      </c>
      <c r="AF8" s="23">
        <f t="shared" si="0"/>
        <v>0.86400902777777744</v>
      </c>
      <c r="AG8" s="23">
        <f t="shared" si="1"/>
        <v>0.60872746913580211</v>
      </c>
      <c r="AH8" s="23">
        <f t="shared" si="2"/>
        <v>1.1421427160493827</v>
      </c>
      <c r="AI8" s="23">
        <f t="shared" si="3"/>
        <v>0.37648100308642007</v>
      </c>
      <c r="AJ8" s="30">
        <f t="shared" si="4"/>
        <v>0.90708904320987604</v>
      </c>
      <c r="AK8" s="30">
        <f t="shared" si="5"/>
        <v>0.74770030864197667</v>
      </c>
    </row>
    <row r="9" spans="1:37" x14ac:dyDescent="0.2">
      <c r="A9" s="21">
        <v>21566</v>
      </c>
      <c r="B9" s="22">
        <f>('BFI Scores'!G9-'BFI Scores'!B9)^2</f>
        <v>0.44889999999999991</v>
      </c>
      <c r="C9" s="22">
        <f>('BFI Scores'!H9-'BFI Scores'!C9)^2</f>
        <v>1.4400000000000026E-2</v>
      </c>
      <c r="D9" s="22">
        <f>('BFI Scores'!I9-'BFI Scores'!D9)^2</f>
        <v>0.82607901234568137</v>
      </c>
      <c r="E9" s="22">
        <f>('BFI Scores'!J9-'BFI Scores'!E9)^2</f>
        <v>1.12890625</v>
      </c>
      <c r="F9" s="22">
        <f>('BFI Scores'!K9-'BFI Scores'!F9)^2</f>
        <v>0.60839999999999972</v>
      </c>
      <c r="G9" s="22">
        <f>('BFI Scores'!L9-'BFI Scores'!B9)^2</f>
        <v>0.51840000000000031</v>
      </c>
      <c r="H9" s="22">
        <f>('BFI Scores'!M9-'BFI Scores'!C9)^2</f>
        <v>9.5412345679013091E-2</v>
      </c>
      <c r="I9" s="22">
        <f>('BFI Scores'!N9-'BFI Scores'!D9)^2</f>
        <v>2.0227160493826536E-2</v>
      </c>
      <c r="J9" s="22">
        <f>('BFI Scores'!O9-'BFI Scores'!E9)^2</f>
        <v>0.7014062499999999</v>
      </c>
      <c r="K9" s="22">
        <f>('BFI Scores'!P9-'BFI Scores'!F9)^2</f>
        <v>3.9999999999999897E-2</v>
      </c>
      <c r="L9" s="22">
        <f>('BFI Scores'!Q9-'BFI Scores'!B9)^2</f>
        <v>2.387025</v>
      </c>
      <c r="M9" s="22">
        <f>('BFI Scores'!R9-'BFI Scores'!C9)^2</f>
        <v>0.44741234567901378</v>
      </c>
      <c r="N9" s="22">
        <f>('BFI Scores'!S9-'BFI Scores'!D9)^2</f>
        <v>1.5156345679012322</v>
      </c>
      <c r="O9" s="22">
        <f>('BFI Scores'!T9-'BFI Scores'!E9)^2</f>
        <v>0.140625</v>
      </c>
      <c r="P9" s="22">
        <f>('BFI Scores'!U9-'BFI Scores'!F9)^2</f>
        <v>2.4648999999999996</v>
      </c>
      <c r="Q9" s="22">
        <f>('BFI Scores'!V9-'BFI Scores'!B9)^2</f>
        <v>3.6863999999999999</v>
      </c>
      <c r="R9" s="22">
        <f>('BFI Scores'!W9-'BFI Scores'!C9)^2</f>
        <v>0.33126419753085784</v>
      </c>
      <c r="S9" s="22">
        <f>('BFI Scores'!X9-'BFI Scores'!D9)^2</f>
        <v>0.65430123456790323</v>
      </c>
      <c r="T9" s="22">
        <f>('BFI Scores'!Y9-'BFI Scores'!E9)^2</f>
        <v>2.3639062500000003</v>
      </c>
      <c r="U9" s="22">
        <f>('BFI Scores'!Z9-'BFI Scores'!F9)^2</f>
        <v>8.1000000000001349E-3</v>
      </c>
      <c r="V9" s="29">
        <f>('BFI Scores'!AA9-'BFI Scores'!B9)^2</f>
        <v>1.8428062499999998</v>
      </c>
      <c r="W9" s="29">
        <f>('BFI Scores'!AB9-'BFI Scores'!C9)^2</f>
        <v>1.0449382716048927E-2</v>
      </c>
      <c r="X9" s="29">
        <f>('BFI Scores'!AC9-'BFI Scores'!D9)^2</f>
        <v>1.2051160493827213</v>
      </c>
      <c r="Y9" s="29">
        <f>('BFI Scores'!AD9-'BFI Scores'!E9)^2</f>
        <v>0.97515625000000006</v>
      </c>
      <c r="Z9" s="29">
        <f>('BFI Scores'!AE9-'BFI Scores'!F9)^2</f>
        <v>0.80999999999999905</v>
      </c>
      <c r="AA9" s="29">
        <f>('BFI Scores'!AF9-'BFI Scores'!B9)^2</f>
        <v>1.6448062500000005</v>
      </c>
      <c r="AB9" s="29">
        <f>('BFI Scores'!AG9-'BFI Scores'!C9)^2</f>
        <v>0.33126419753085784</v>
      </c>
      <c r="AC9" s="29">
        <f>('BFI Scores'!AH9-'BFI Scores'!D9)^2</f>
        <v>1.0631901234567882</v>
      </c>
      <c r="AD9" s="29">
        <f>('BFI Scores'!AI9-'BFI Scores'!E9)^2</f>
        <v>0.33062499999999995</v>
      </c>
      <c r="AE9" s="29">
        <f>('BFI Scores'!AJ9-'BFI Scores'!F9)^2</f>
        <v>3.9999999999998294E-4</v>
      </c>
      <c r="AF9" s="23">
        <f t="shared" si="0"/>
        <v>0.60533705246913616</v>
      </c>
      <c r="AG9" s="23">
        <f t="shared" si="1"/>
        <v>0.27508915123456795</v>
      </c>
      <c r="AH9" s="23">
        <f t="shared" si="2"/>
        <v>1.3911193827160493</v>
      </c>
      <c r="AI9" s="23">
        <f t="shared" si="3"/>
        <v>1.4087943364197522</v>
      </c>
      <c r="AJ9" s="30">
        <f t="shared" si="4"/>
        <v>0.96870558641975379</v>
      </c>
      <c r="AK9" s="30">
        <f t="shared" si="5"/>
        <v>0.67405711419752934</v>
      </c>
    </row>
    <row r="10" spans="1:37" x14ac:dyDescent="0.2">
      <c r="A10" s="21">
        <v>23105</v>
      </c>
      <c r="B10" s="22">
        <f>('BFI Scores'!G10-'BFI Scores'!B10)^2</f>
        <v>3.9800250000000004</v>
      </c>
      <c r="C10" s="22">
        <f>('BFI Scores'!H10-'BFI Scores'!C10)^2</f>
        <v>1.0290975308641876</v>
      </c>
      <c r="D10" s="22">
        <f>('BFI Scores'!I10-'BFI Scores'!D10)^2</f>
        <v>0.40676049382716362</v>
      </c>
      <c r="E10" s="22">
        <f>('BFI Scores'!J10-'BFI Scores'!E10)^2</f>
        <v>0.10890000000000005</v>
      </c>
      <c r="F10" s="22">
        <f>('BFI Scores'!K10-'BFI Scores'!F10)^2</f>
        <v>9.9999999999995736E-5</v>
      </c>
      <c r="G10" s="22">
        <f>('BFI Scores'!L10-'BFI Scores'!B10)^2</f>
        <v>4.4415562499999997</v>
      </c>
      <c r="H10" s="22">
        <f>('BFI Scores'!M10-'BFI Scores'!C10)^2</f>
        <v>0.5759123456790145</v>
      </c>
      <c r="I10" s="22">
        <f>('BFI Scores'!N10-'BFI Scores'!D10)^2</f>
        <v>2.0992790123456828</v>
      </c>
      <c r="J10" s="22">
        <f>('BFI Scores'!O10-'BFI Scores'!E10)^2</f>
        <v>2.1903999999999999</v>
      </c>
      <c r="K10" s="22">
        <f>('BFI Scores'!P10-'BFI Scores'!F10)^2</f>
        <v>6.7599999999999882E-2</v>
      </c>
      <c r="L10" s="22">
        <f>('BFI Scores'!Q10-'BFI Scores'!B10)^2</f>
        <v>3.2670562500000004</v>
      </c>
      <c r="M10" s="22">
        <f>('BFI Scores'!R10-'BFI Scores'!C10)^2</f>
        <v>3.5679012345683455E-4</v>
      </c>
      <c r="N10" s="22">
        <f>('BFI Scores'!S10-'BFI Scores'!D10)^2</f>
        <v>2.6100197530864344</v>
      </c>
      <c r="O10" s="22">
        <f>('BFI Scores'!T10-'BFI Scores'!E10)^2</f>
        <v>0.13690000000000008</v>
      </c>
      <c r="P10" s="22">
        <f>('BFI Scores'!U10-'BFI Scores'!F10)^2</f>
        <v>1.2099999999999972E-2</v>
      </c>
      <c r="Q10" s="22">
        <f>('BFI Scores'!V10-'BFI Scores'!B10)^2</f>
        <v>3.9800250000000004</v>
      </c>
      <c r="R10" s="22">
        <f>('BFI Scores'!W10-'BFI Scores'!C10)^2</f>
        <v>0.21057901234568005</v>
      </c>
      <c r="S10" s="22">
        <f>('BFI Scores'!X10-'BFI Scores'!D10)^2</f>
        <v>3.2560197530864041</v>
      </c>
      <c r="T10" s="22">
        <f>('BFI Scores'!Y10-'BFI Scores'!E10)^2</f>
        <v>0.11730624999999986</v>
      </c>
      <c r="U10" s="22">
        <f>('BFI Scores'!Z10-'BFI Scores'!F10)^2</f>
        <v>0.82810000000000028</v>
      </c>
      <c r="V10" s="29">
        <f>('BFI Scores'!AA10-'BFI Scores'!B10)^2</f>
        <v>3.9800250000000004</v>
      </c>
      <c r="W10" s="29">
        <f>('BFI Scores'!AB10-'BFI Scores'!C10)^2</f>
        <v>1.0746777777777841</v>
      </c>
      <c r="X10" s="29">
        <f>('BFI Scores'!AC10-'BFI Scores'!D10)^2</f>
        <v>0.43560000000000021</v>
      </c>
      <c r="Y10" s="29">
        <f>('BFI Scores'!AD10-'BFI Scores'!E10)^2</f>
        <v>1.6899999999999971E-2</v>
      </c>
      <c r="Z10" s="29">
        <f>('BFI Scores'!AE10-'BFI Scores'!F10)^2</f>
        <v>9.9999999999995736E-5</v>
      </c>
      <c r="AA10" s="29">
        <f>('BFI Scores'!AF10-'BFI Scores'!B10)^2</f>
        <v>4.4944000000000006</v>
      </c>
      <c r="AB10" s="29">
        <f>('BFI Scores'!AG10-'BFI Scores'!C10)^2</f>
        <v>0.68154197530863214</v>
      </c>
      <c r="AC10" s="29">
        <f>('BFI Scores'!AH10-'BFI Scores'!D10)^2</f>
        <v>2.1315999999999997</v>
      </c>
      <c r="AD10" s="29">
        <f>('BFI Scores'!AI10-'BFI Scores'!E10)^2</f>
        <v>1.67055625</v>
      </c>
      <c r="AE10" s="29">
        <f>('BFI Scores'!AJ10-'BFI Scores'!F10)^2</f>
        <v>0.18490000000000015</v>
      </c>
      <c r="AF10" s="23">
        <f t="shared" si="0"/>
        <v>1.1049766049382703</v>
      </c>
      <c r="AG10" s="23">
        <f t="shared" si="1"/>
        <v>1.8749495216049397</v>
      </c>
      <c r="AH10" s="23">
        <f t="shared" si="2"/>
        <v>1.2052865586419783</v>
      </c>
      <c r="AI10" s="23">
        <f t="shared" si="3"/>
        <v>1.6784060030864167</v>
      </c>
      <c r="AJ10" s="30">
        <f t="shared" si="4"/>
        <v>1.1014605555555568</v>
      </c>
      <c r="AK10" s="30">
        <f t="shared" si="5"/>
        <v>1.8325996450617268</v>
      </c>
    </row>
    <row r="11" spans="1:37" x14ac:dyDescent="0.2">
      <c r="A11" s="21">
        <v>23429</v>
      </c>
      <c r="B11" s="22">
        <f>('BFI Scores'!G11-'BFI Scores'!B11)^2</f>
        <v>0.10080624999999993</v>
      </c>
      <c r="C11" s="22">
        <f>('BFI Scores'!H11-'BFI Scores'!C11)^2</f>
        <v>6.7599999999999882E-2</v>
      </c>
      <c r="D11" s="22">
        <f>('BFI Scores'!I11-'BFI Scores'!D11)^2</f>
        <v>0.1264197530864157</v>
      </c>
      <c r="E11" s="22">
        <f>('BFI Scores'!J11-'BFI Scores'!E11)^2</f>
        <v>0.25</v>
      </c>
      <c r="F11" s="22">
        <f>('BFI Scores'!K11-'BFI Scores'!F11)^2</f>
        <v>2.3104</v>
      </c>
      <c r="G11" s="22">
        <f>('BFI Scores'!L11-'BFI Scores'!B11)^2</f>
        <v>3.3306250000000037E-2</v>
      </c>
      <c r="H11" s="22">
        <f>('BFI Scores'!M11-'BFI Scores'!C11)^2</f>
        <v>2.2834567901234459E-2</v>
      </c>
      <c r="I11" s="22">
        <f>('BFI Scores'!N11-'BFI Scores'!D11)^2</f>
        <v>6.0493827160497541E-3</v>
      </c>
      <c r="J11" s="22">
        <f>('BFI Scores'!O11-'BFI Scores'!E11)^2</f>
        <v>0.17015625000000006</v>
      </c>
      <c r="K11" s="22">
        <f>('BFI Scores'!P11-'BFI Scores'!F11)^2</f>
        <v>2.7556000000000003</v>
      </c>
      <c r="L11" s="22">
        <f>('BFI Scores'!Q11-'BFI Scores'!B11)^2</f>
        <v>4.9000000000000397E-3</v>
      </c>
      <c r="M11" s="22">
        <f>('BFI Scores'!R11-'BFI Scores'!C11)^2</f>
        <v>5.3777777777788078E-3</v>
      </c>
      <c r="N11" s="22">
        <f>('BFI Scores'!S11-'BFI Scores'!D11)^2</f>
        <v>0.284444444444441</v>
      </c>
      <c r="O11" s="22">
        <f>('BFI Scores'!T11-'BFI Scores'!E11)^2</f>
        <v>3.515625</v>
      </c>
      <c r="P11" s="22">
        <f>('BFI Scores'!U11-'BFI Scores'!F11)^2</f>
        <v>0.82810000000000028</v>
      </c>
      <c r="Q11" s="22">
        <f>('BFI Scores'!V11-'BFI Scores'!B11)^2</f>
        <v>0.17430625</v>
      </c>
      <c r="R11" s="22">
        <f>('BFI Scores'!W11-'BFI Scores'!C11)^2</f>
        <v>1.9600000000000159E-2</v>
      </c>
      <c r="S11" s="22">
        <f>('BFI Scores'!X11-'BFI Scores'!D11)^2</f>
        <v>0.41530864197530282</v>
      </c>
      <c r="T11" s="22">
        <f>('BFI Scores'!Y11-'BFI Scores'!E11)^2</f>
        <v>5.76</v>
      </c>
      <c r="U11" s="22">
        <f>('BFI Scores'!Z11-'BFI Scores'!F11)^2</f>
        <v>2.3408999999999995</v>
      </c>
      <c r="V11" s="29">
        <f>('BFI Scores'!AA11-'BFI Scores'!B11)^2</f>
        <v>0.17639999999999995</v>
      </c>
      <c r="W11" s="29">
        <f>('BFI Scores'!AB11-'BFI Scores'!C11)^2</f>
        <v>0.20150123456790203</v>
      </c>
      <c r="X11" s="29">
        <f>('BFI Scores'!AC11-'BFI Scores'!D11)^2</f>
        <v>0.30864197530864668</v>
      </c>
      <c r="Y11" s="29">
        <f>('BFI Scores'!AD11-'BFI Scores'!E11)^2</f>
        <v>0.20249999999999996</v>
      </c>
      <c r="Z11" s="29">
        <f>('BFI Scores'!AE11-'BFI Scores'!F11)^2</f>
        <v>1.2768999999999997</v>
      </c>
      <c r="AA11" s="29">
        <f>('BFI Scores'!AF11-'BFI Scores'!B11)^2</f>
        <v>2.1978062499999997</v>
      </c>
      <c r="AB11" s="29">
        <f>('BFI Scores'!AG11-'BFI Scores'!C11)^2</f>
        <v>1.4293530864197646</v>
      </c>
      <c r="AC11" s="29">
        <f>('BFI Scores'!AH11-'BFI Scores'!D11)^2</f>
        <v>0</v>
      </c>
      <c r="AD11" s="29">
        <f>('BFI Scores'!AI11-'BFI Scores'!E11)^2</f>
        <v>0.20249999999999996</v>
      </c>
      <c r="AE11" s="29">
        <f>('BFI Scores'!AJ11-'BFI Scores'!F11)^2</f>
        <v>3.5721000000000003</v>
      </c>
      <c r="AF11" s="23">
        <f t="shared" si="0"/>
        <v>0.57104520061728314</v>
      </c>
      <c r="AG11" s="23">
        <f t="shared" si="1"/>
        <v>0.59758929012345696</v>
      </c>
      <c r="AH11" s="23">
        <f t="shared" si="2"/>
        <v>0.92768944444444412</v>
      </c>
      <c r="AI11" s="23">
        <f t="shared" si="3"/>
        <v>1.7420229783950603</v>
      </c>
      <c r="AJ11" s="30">
        <f t="shared" si="4"/>
        <v>0.43318864197530971</v>
      </c>
      <c r="AK11" s="30">
        <f t="shared" si="5"/>
        <v>1.4803518672839531</v>
      </c>
    </row>
    <row r="12" spans="1:37" x14ac:dyDescent="0.2">
      <c r="A12" s="21">
        <v>23564</v>
      </c>
      <c r="B12" s="22">
        <f>('BFI Scores'!G12-'BFI Scores'!B12)^2</f>
        <v>6.5024999999999944E-2</v>
      </c>
      <c r="C12" s="22">
        <f>('BFI Scores'!H12-'BFI Scores'!C12)^2</f>
        <v>0.86490000000000034</v>
      </c>
      <c r="D12" s="22">
        <f>('BFI Scores'!I12-'BFI Scores'!D12)^2</f>
        <v>6.3280197530864406</v>
      </c>
      <c r="E12" s="22">
        <f>('BFI Scores'!J12-'BFI Scores'!E12)^2</f>
        <v>0.68062500000000026</v>
      </c>
      <c r="F12" s="22">
        <f>('BFI Scores'!K12-'BFI Scores'!F12)^2</f>
        <v>4.6224999999999996</v>
      </c>
      <c r="G12" s="22">
        <f>('BFI Scores'!L12-'BFI Scores'!B12)^2</f>
        <v>0.14439999999999992</v>
      </c>
      <c r="H12" s="22">
        <f>('BFI Scores'!M12-'BFI Scores'!C12)^2</f>
        <v>0.82406049382716495</v>
      </c>
      <c r="I12" s="22">
        <f>('BFI Scores'!N12-'BFI Scores'!D12)^2</f>
        <v>0.54431604938271849</v>
      </c>
      <c r="J12" s="22">
        <f>('BFI Scores'!O12-'BFI Scores'!E12)^2</f>
        <v>7.7701562499999977</v>
      </c>
      <c r="K12" s="22">
        <f>('BFI Scores'!P12-'BFI Scores'!F12)^2</f>
        <v>4.41</v>
      </c>
      <c r="L12" s="22">
        <f>('BFI Scores'!Q12-'BFI Scores'!B12)^2</f>
        <v>0.57380625000000041</v>
      </c>
      <c r="M12" s="22">
        <f>('BFI Scores'!R12-'BFI Scores'!C12)^2</f>
        <v>5.5419753086427825E-3</v>
      </c>
      <c r="N12" s="22">
        <f>('BFI Scores'!S12-'BFI Scores'!D12)^2</f>
        <v>4.8107111111110958</v>
      </c>
      <c r="O12" s="22">
        <f>('BFI Scores'!T12-'BFI Scores'!E12)^2</f>
        <v>1.8906249999999989E-2</v>
      </c>
      <c r="P12" s="22">
        <f>('BFI Scores'!U12-'BFI Scores'!F12)^2</f>
        <v>4.5795999999999983</v>
      </c>
      <c r="Q12" s="22">
        <f>('BFI Scores'!V12-'BFI Scores'!B12)^2</f>
        <v>2.4024999999999939E-2</v>
      </c>
      <c r="R12" s="22">
        <f>('BFI Scores'!W12-'BFI Scores'!C12)^2</f>
        <v>1.7985790123456766</v>
      </c>
      <c r="S12" s="22">
        <f>('BFI Scores'!X12-'BFI Scores'!D12)^2</f>
        <v>4.2895012345678953</v>
      </c>
      <c r="T12" s="22">
        <f>('BFI Scores'!Y12-'BFI Scores'!E12)^2</f>
        <v>10.481406249999999</v>
      </c>
      <c r="U12" s="22">
        <f>('BFI Scores'!Z12-'BFI Scores'!F12)^2</f>
        <v>3.8025000000000007</v>
      </c>
      <c r="V12" s="29">
        <f>('BFI Scores'!AA12-'BFI Scores'!B12)^2</f>
        <v>9.4556250000000064E-2</v>
      </c>
      <c r="W12" s="29">
        <f>('BFI Scores'!AB12-'BFI Scores'!C12)^2</f>
        <v>0.3173444444444406</v>
      </c>
      <c r="X12" s="29">
        <f>('BFI Scores'!AC12-'BFI Scores'!D12)^2</f>
        <v>6.5535999999999976</v>
      </c>
      <c r="Y12" s="29">
        <f>('BFI Scores'!AD12-'BFI Scores'!E12)^2</f>
        <v>0.85562499999999964</v>
      </c>
      <c r="Z12" s="29">
        <f>('BFI Scores'!AE12-'BFI Scores'!F12)^2</f>
        <v>4.1209000000000007</v>
      </c>
      <c r="AA12" s="29">
        <f>('BFI Scores'!AF12-'BFI Scores'!B12)^2</f>
        <v>0.14439999999999992</v>
      </c>
      <c r="AB12" s="29">
        <f>('BFI Scores'!AG12-'BFI Scores'!C12)^2</f>
        <v>0.88569012345678788</v>
      </c>
      <c r="AC12" s="29">
        <f>('BFI Scores'!AH12-'BFI Scores'!D12)^2</f>
        <v>1.2444641975308728</v>
      </c>
      <c r="AD12" s="29">
        <f>('BFI Scores'!AI12-'BFI Scores'!E12)^2</f>
        <v>8.265625</v>
      </c>
      <c r="AE12" s="29">
        <f>('BFI Scores'!AJ12-'BFI Scores'!F12)^2</f>
        <v>4.3264000000000005</v>
      </c>
      <c r="AF12" s="23">
        <f t="shared" si="0"/>
        <v>2.512213950617288</v>
      </c>
      <c r="AG12" s="23">
        <f t="shared" si="1"/>
        <v>2.738586558641976</v>
      </c>
      <c r="AH12" s="23">
        <f t="shared" si="2"/>
        <v>1.9977131172839475</v>
      </c>
      <c r="AI12" s="23">
        <f t="shared" si="3"/>
        <v>4.0792022993827146</v>
      </c>
      <c r="AJ12" s="30">
        <f t="shared" si="4"/>
        <v>2.3884051388888876</v>
      </c>
      <c r="AK12" s="30">
        <f t="shared" si="5"/>
        <v>2.9733158641975321</v>
      </c>
    </row>
    <row r="13" spans="1:37" x14ac:dyDescent="0.2">
      <c r="A13" s="21">
        <v>24311</v>
      </c>
      <c r="B13" s="22">
        <f>('BFI Scores'!G13-'BFI Scores'!B13)^2</f>
        <v>0.25755625000000004</v>
      </c>
      <c r="C13" s="22">
        <f>('BFI Scores'!H13-'BFI Scores'!C13)^2</f>
        <v>5.5486419753083681E-2</v>
      </c>
      <c r="D13" s="22">
        <f>('BFI Scores'!I13-'BFI Scores'!D13)^2</f>
        <v>6.049382716053001E-5</v>
      </c>
      <c r="E13" s="22">
        <f>('BFI Scores'!J13-'BFI Scores'!E13)^2</f>
        <v>4.9000000000000397E-3</v>
      </c>
      <c r="F13" s="22">
        <f>('BFI Scores'!K13-'BFI Scores'!F13)^2</f>
        <v>5.7600000000000103E-2</v>
      </c>
      <c r="G13" s="22">
        <f>('BFI Scores'!L13-'BFI Scores'!B13)^2</f>
        <v>0.99002500000000027</v>
      </c>
      <c r="H13" s="22">
        <f>('BFI Scores'!M13-'BFI Scores'!C13)^2</f>
        <v>7.8399999999999886E-2</v>
      </c>
      <c r="I13" s="22">
        <f>('BFI Scores'!N13-'BFI Scores'!D13)^2</f>
        <v>1.4856901234567934</v>
      </c>
      <c r="J13" s="22">
        <f>('BFI Scores'!O13-'BFI Scores'!E13)^2</f>
        <v>5.0850249999999999</v>
      </c>
      <c r="K13" s="22">
        <f>('BFI Scores'!P13-'BFI Scores'!F13)^2</f>
        <v>1.5876000000000006</v>
      </c>
      <c r="L13" s="22">
        <f>('BFI Scores'!Q13-'BFI Scores'!B13)^2</f>
        <v>5.3245562500000005</v>
      </c>
      <c r="M13" s="22">
        <f>('BFI Scores'!R13-'BFI Scores'!C13)^2</f>
        <v>0.2157086419753047</v>
      </c>
      <c r="N13" s="22">
        <f>('BFI Scores'!S13-'BFI Scores'!D13)^2</f>
        <v>0.36939382716049651</v>
      </c>
      <c r="O13" s="22">
        <f>('BFI Scores'!T13-'BFI Scores'!E13)^2</f>
        <v>0.49702500000000011</v>
      </c>
      <c r="P13" s="22">
        <f>('BFI Scores'!U13-'BFI Scores'!F13)^2</f>
        <v>0.29160000000000003</v>
      </c>
      <c r="Q13" s="22">
        <f>('BFI Scores'!V13-'BFI Scores'!B13)^2</f>
        <v>2.8308062500000002</v>
      </c>
      <c r="R13" s="22">
        <f>('BFI Scores'!W13-'BFI Scores'!C13)^2</f>
        <v>0.19556049382715879</v>
      </c>
      <c r="S13" s="22">
        <f>('BFI Scores'!X13-'BFI Scores'!D13)^2</f>
        <v>0.84435679012345877</v>
      </c>
      <c r="T13" s="22">
        <f>('BFI Scores'!Y13-'BFI Scores'!E13)^2</f>
        <v>2.2275562499999992</v>
      </c>
      <c r="U13" s="22">
        <f>('BFI Scores'!Z13-'BFI Scores'!F13)^2</f>
        <v>1.5876000000000006</v>
      </c>
      <c r="V13" s="29">
        <f>('BFI Scores'!AA13-'BFI Scores'!B13)^2</f>
        <v>0.67240000000000011</v>
      </c>
      <c r="W13" s="29">
        <f>('BFI Scores'!AB13-'BFI Scores'!C13)^2</f>
        <v>6.084444444444112E-2</v>
      </c>
      <c r="X13" s="29">
        <f>('BFI Scores'!AC13-'BFI Scores'!D13)^2</f>
        <v>8.5049382716045254E-3</v>
      </c>
      <c r="Y13" s="29">
        <f>('BFI Scores'!AD13-'BFI Scores'!E13)^2</f>
        <v>0.10890000000000005</v>
      </c>
      <c r="Z13" s="29">
        <f>('BFI Scores'!AE13-'BFI Scores'!F13)^2</f>
        <v>0</v>
      </c>
      <c r="AA13" s="29">
        <f>('BFI Scores'!AF13-'BFI Scores'!B13)^2</f>
        <v>2.9155562499999998</v>
      </c>
      <c r="AB13" s="29">
        <f>('BFI Scores'!AG13-'BFI Scores'!C13)^2</f>
        <v>9.1338271604936766E-2</v>
      </c>
      <c r="AC13" s="29">
        <f>('BFI Scores'!AH13-'BFI Scores'!D13)^2</f>
        <v>0.19457901234567795</v>
      </c>
      <c r="AD13" s="29">
        <f>('BFI Scores'!AI13-'BFI Scores'!E13)^2</f>
        <v>3.6768062499999998</v>
      </c>
      <c r="AE13" s="29">
        <f>('BFI Scores'!AJ13-'BFI Scores'!F13)^2</f>
        <v>1.5876000000000006</v>
      </c>
      <c r="AF13" s="23">
        <f t="shared" si="0"/>
        <v>7.512063271604888E-2</v>
      </c>
      <c r="AG13" s="23">
        <f t="shared" si="1"/>
        <v>1.8453480246913589</v>
      </c>
      <c r="AH13" s="23">
        <f t="shared" si="2"/>
        <v>1.33965674382716</v>
      </c>
      <c r="AI13" s="23">
        <f t="shared" si="3"/>
        <v>1.5371759567901235</v>
      </c>
      <c r="AJ13" s="30">
        <f t="shared" si="4"/>
        <v>0.17012987654320916</v>
      </c>
      <c r="AK13" s="30">
        <f t="shared" si="5"/>
        <v>1.6931759567901228</v>
      </c>
    </row>
    <row r="14" spans="1:37" x14ac:dyDescent="0.2">
      <c r="A14" s="21">
        <v>26586</v>
      </c>
      <c r="B14" s="22">
        <f>('BFI Scores'!G14-'BFI Scores'!B14)^2</f>
        <v>0.18489999999999976</v>
      </c>
      <c r="C14" s="22">
        <f>('BFI Scores'!H14-'BFI Scores'!C14)^2</f>
        <v>5.2900000000000197E-2</v>
      </c>
      <c r="D14" s="22">
        <f>('BFI Scores'!I14-'BFI Scores'!D14)^2</f>
        <v>5.9211111111109736E-2</v>
      </c>
      <c r="E14" s="22">
        <f>('BFI Scores'!J14-'BFI Scores'!E14)^2</f>
        <v>4.515624999999996E-2</v>
      </c>
      <c r="F14" s="22">
        <f>('BFI Scores'!K14-'BFI Scores'!F14)^2</f>
        <v>0.1156000000000002</v>
      </c>
      <c r="G14" s="22">
        <f>('BFI Scores'!L14-'BFI Scores'!B14)^2</f>
        <v>6.4000000000000116E-3</v>
      </c>
      <c r="H14" s="22">
        <f>('BFI Scores'!M14-'BFI Scores'!C14)^2</f>
        <v>4.5986419753088606E-2</v>
      </c>
      <c r="I14" s="22">
        <f>('BFI Scores'!N14-'BFI Scores'!D14)^2</f>
        <v>5.8777777777783901E-3</v>
      </c>
      <c r="J14" s="22">
        <f>('BFI Scores'!O14-'BFI Scores'!E14)^2</f>
        <v>0.34515624999999989</v>
      </c>
      <c r="K14" s="22">
        <f>('BFI Scores'!P14-'BFI Scores'!F14)^2</f>
        <v>0.65610000000000013</v>
      </c>
      <c r="L14" s="22">
        <f>('BFI Scores'!Q14-'BFI Scores'!B14)^2</f>
        <v>6.4000000000000116E-3</v>
      </c>
      <c r="M14" s="22">
        <f>('BFI Scores'!R14-'BFI Scores'!C14)^2</f>
        <v>1.1616049382716619E-2</v>
      </c>
      <c r="N14" s="22">
        <f>('BFI Scores'!S14-'BFI Scores'!D14)^2</f>
        <v>1.2075567901234596</v>
      </c>
      <c r="O14" s="22">
        <f>('BFI Scores'!T14-'BFI Scores'!E14)^2</f>
        <v>0.62015625000000019</v>
      </c>
      <c r="P14" s="22">
        <f>('BFI Scores'!U14-'BFI Scores'!F14)^2</f>
        <v>0.21159999999999995</v>
      </c>
      <c r="Q14" s="22">
        <f>('BFI Scores'!V14-'BFI Scores'!B14)^2</f>
        <v>3.3062500000000123E-3</v>
      </c>
      <c r="R14" s="22">
        <f>('BFI Scores'!W14-'BFI Scores'!C14)^2</f>
        <v>0.89828271604938659</v>
      </c>
      <c r="S14" s="22">
        <f>('BFI Scores'!X14-'BFI Scores'!D14)^2</f>
        <v>0.17733456790123392</v>
      </c>
      <c r="T14" s="22">
        <f>('BFI Scores'!Y14-'BFI Scores'!E14)^2</f>
        <v>0.85562499999999964</v>
      </c>
      <c r="U14" s="22">
        <f>('BFI Scores'!Z14-'BFI Scores'!F14)^2</f>
        <v>7.2900000000000006E-2</v>
      </c>
      <c r="V14" s="29">
        <f>('BFI Scores'!AA14-'BFI Scores'!B14)^2</f>
        <v>4.3056250000000004E-2</v>
      </c>
      <c r="W14" s="29">
        <f>('BFI Scores'!AB14-'BFI Scores'!C14)^2</f>
        <v>1.11111111110909E-5</v>
      </c>
      <c r="X14" s="29">
        <f>('BFI Scores'!AC14-'BFI Scores'!D14)^2</f>
        <v>0.62059382716049749</v>
      </c>
      <c r="Y14" s="29">
        <f>('BFI Scores'!AD14-'BFI Scores'!E14)^2</f>
        <v>2.640625000000003E-2</v>
      </c>
      <c r="Z14" s="29">
        <f>('BFI Scores'!AE14-'BFI Scores'!F14)^2</f>
        <v>0.13690000000000008</v>
      </c>
      <c r="AA14" s="29">
        <f>('BFI Scores'!AF14-'BFI Scores'!B14)^2</f>
        <v>6.8062500000000033E-3</v>
      </c>
      <c r="AB14" s="29">
        <f>('BFI Scores'!AG14-'BFI Scores'!C14)^2</f>
        <v>0.31235679012345813</v>
      </c>
      <c r="AC14" s="29">
        <f>('BFI Scores'!AH14-'BFI Scores'!D14)^2</f>
        <v>0.33254444444444853</v>
      </c>
      <c r="AD14" s="29">
        <f>('BFI Scores'!AI14-'BFI Scores'!E14)^2</f>
        <v>3.0624999999999937E-2</v>
      </c>
      <c r="AE14" s="29">
        <f>('BFI Scores'!AJ14-'BFI Scores'!F14)^2</f>
        <v>0.5625</v>
      </c>
      <c r="AF14" s="23">
        <f t="shared" si="0"/>
        <v>9.155347222222196E-2</v>
      </c>
      <c r="AG14" s="23">
        <f t="shared" si="1"/>
        <v>0.2119040895061734</v>
      </c>
      <c r="AH14" s="23">
        <f t="shared" si="2"/>
        <v>0.41146581790123526</v>
      </c>
      <c r="AI14" s="23">
        <f t="shared" si="3"/>
        <v>0.40148970679012408</v>
      </c>
      <c r="AJ14" s="30">
        <f t="shared" si="4"/>
        <v>0.16539348765432177</v>
      </c>
      <c r="AK14" s="30">
        <f t="shared" si="5"/>
        <v>0.24896649691358133</v>
      </c>
    </row>
    <row r="15" spans="1:37" x14ac:dyDescent="0.2">
      <c r="A15" s="21">
        <v>26627</v>
      </c>
      <c r="B15" s="22">
        <f>('BFI Scores'!G15-'BFI Scores'!B15)^2</f>
        <v>1.265625</v>
      </c>
      <c r="C15" s="22">
        <f>('BFI Scores'!H15-'BFI Scores'!C15)^2</f>
        <v>1.6612345679012732E-2</v>
      </c>
      <c r="D15" s="22">
        <f>('BFI Scores'!I15-'BFI Scores'!D15)^2</f>
        <v>0.4760999999999993</v>
      </c>
      <c r="E15" s="22">
        <f>('BFI Scores'!J15-'BFI Scores'!E15)^2</f>
        <v>6.2250250000000005</v>
      </c>
      <c r="F15" s="22">
        <f>('BFI Scores'!K15-'BFI Scores'!F15)^2</f>
        <v>2.4964000000000004</v>
      </c>
      <c r="G15" s="22">
        <f>('BFI Scores'!L15-'BFI Scores'!B15)^2</f>
        <v>1.265625</v>
      </c>
      <c r="H15" s="22">
        <f>('BFI Scores'!M15-'BFI Scores'!C15)^2</f>
        <v>2.6123456790122543E-3</v>
      </c>
      <c r="I15" s="22">
        <f>('BFI Scores'!N15-'BFI Scores'!D15)^2</f>
        <v>0.85254444444443789</v>
      </c>
      <c r="J15" s="22">
        <f>('BFI Scores'!O15-'BFI Scores'!E15)^2</f>
        <v>6.2875562500000015</v>
      </c>
      <c r="K15" s="22">
        <f>('BFI Scores'!P15-'BFI Scores'!F15)^2</f>
        <v>0.51840000000000031</v>
      </c>
      <c r="L15" s="22">
        <f>('BFI Scores'!Q15-'BFI Scores'!B15)^2</f>
        <v>1.7556250000000004</v>
      </c>
      <c r="M15" s="22">
        <f>('BFI Scores'!R15-'BFI Scores'!C15)^2</f>
        <v>0.68337777777778286</v>
      </c>
      <c r="N15" s="22">
        <f>('BFI Scores'!S15-'BFI Scores'!D15)^2</f>
        <v>3.1644456790123492</v>
      </c>
      <c r="O15" s="22">
        <f>('BFI Scores'!T15-'BFI Scores'!E15)^2</f>
        <v>10.530025</v>
      </c>
      <c r="P15" s="22">
        <f>('BFI Scores'!U15-'BFI Scores'!F15)^2</f>
        <v>2.5921000000000003</v>
      </c>
      <c r="Q15" s="22">
        <f>('BFI Scores'!V15-'BFI Scores'!B15)^2</f>
        <v>2.640625</v>
      </c>
      <c r="R15" s="22">
        <f>('BFI Scores'!W15-'BFI Scores'!C15)^2</f>
        <v>0.13772345679012235</v>
      </c>
      <c r="S15" s="22">
        <f>('BFI Scores'!X15-'BFI Scores'!D15)^2</f>
        <v>2.9317049382715967</v>
      </c>
      <c r="T15" s="22">
        <f>('BFI Scores'!Y15-'BFI Scores'!E15)^2</f>
        <v>6.66930625</v>
      </c>
      <c r="U15" s="22">
        <f>('BFI Scores'!Z15-'BFI Scores'!F15)^2</f>
        <v>1.2320999999999998</v>
      </c>
      <c r="V15" s="29">
        <f>('BFI Scores'!AA15-'BFI Scores'!B15)^2</f>
        <v>1.2939062500000005</v>
      </c>
      <c r="W15" s="29">
        <f>('BFI Scores'!AB15-'BFI Scores'!C15)^2</f>
        <v>9.1308641975318509E-3</v>
      </c>
      <c r="X15" s="29">
        <f>('BFI Scores'!AC15-'BFI Scores'!D15)^2</f>
        <v>0.73387777777778351</v>
      </c>
      <c r="Y15" s="29">
        <f>('BFI Scores'!AD15-'BFI Scores'!E15)^2</f>
        <v>6.2250250000000005</v>
      </c>
      <c r="Z15" s="29">
        <f>('BFI Scores'!AE15-'BFI Scores'!F15)^2</f>
        <v>2.3715999999999999</v>
      </c>
      <c r="AA15" s="29">
        <f>('BFI Scores'!AF15-'BFI Scores'!B15)^2</f>
        <v>3.1506249999999998</v>
      </c>
      <c r="AB15" s="29">
        <f>('BFI Scores'!AG15-'BFI Scores'!C15)^2</f>
        <v>1.6612345679012732E-2</v>
      </c>
      <c r="AC15" s="29">
        <f>('BFI Scores'!AH15-'BFI Scores'!D15)^2</f>
        <v>1.1880999999999997</v>
      </c>
      <c r="AD15" s="29">
        <f>('BFI Scores'!AI15-'BFI Scores'!E15)^2</f>
        <v>6.7340250000000008</v>
      </c>
      <c r="AE15" s="29">
        <f>('BFI Scores'!AJ15-'BFI Scores'!F15)^2</f>
        <v>0.47609999999999991</v>
      </c>
      <c r="AF15" s="23">
        <f t="shared" si="0"/>
        <v>2.0959524691358027</v>
      </c>
      <c r="AG15" s="23">
        <f t="shared" si="1"/>
        <v>1.7853476080246904</v>
      </c>
      <c r="AH15" s="23">
        <f t="shared" si="2"/>
        <v>3.7451146913580273</v>
      </c>
      <c r="AI15" s="23">
        <f t="shared" si="3"/>
        <v>2.7222919290123437</v>
      </c>
      <c r="AJ15" s="30">
        <f t="shared" si="4"/>
        <v>2.1267079783950633</v>
      </c>
      <c r="AK15" s="30">
        <f t="shared" si="5"/>
        <v>2.3130924691358028</v>
      </c>
    </row>
    <row r="16" spans="1:37" x14ac:dyDescent="0.2">
      <c r="A16" s="21">
        <v>29239</v>
      </c>
      <c r="B16" s="22">
        <f>('BFI Scores'!G16-'BFI Scores'!B16)^2</f>
        <v>8.99999999999999E-2</v>
      </c>
      <c r="C16" s="22">
        <f>('BFI Scores'!H16-'BFI Scores'!C16)^2</f>
        <v>1.1864197530861175E-3</v>
      </c>
      <c r="D16" s="22">
        <f>('BFI Scores'!I16-'BFI Scores'!D16)^2</f>
        <v>3.480297530864215</v>
      </c>
      <c r="E16" s="22">
        <f>('BFI Scores'!J16-'BFI Scores'!E16)^2</f>
        <v>7.2900000000000256E-2</v>
      </c>
      <c r="F16" s="22">
        <f>('BFI Scores'!K16-'BFI Scores'!F16)^2</f>
        <v>0.21159999999999995</v>
      </c>
      <c r="G16" s="22">
        <f>('BFI Scores'!L16-'BFI Scores'!B16)^2</f>
        <v>4.000000000000007E-2</v>
      </c>
      <c r="H16" s="22">
        <f>('BFI Scores'!M16-'BFI Scores'!C16)^2</f>
        <v>7.1704938271606192E-2</v>
      </c>
      <c r="I16" s="22">
        <f>('BFI Scores'!N16-'BFI Scores'!D16)^2</f>
        <v>1.6016308641975427</v>
      </c>
      <c r="J16" s="22">
        <f>('BFI Scores'!O16-'BFI Scores'!E16)^2</f>
        <v>3.0800249999999996</v>
      </c>
      <c r="K16" s="22">
        <f>('BFI Scores'!P16-'BFI Scores'!F16)^2</f>
        <v>0.60840000000000038</v>
      </c>
      <c r="L16" s="22">
        <f>('BFI Scores'!Q16-'BFI Scores'!B16)^2</f>
        <v>0.58140625000000024</v>
      </c>
      <c r="M16" s="22">
        <f>('BFI Scores'!R16-'BFI Scores'!C16)^2</f>
        <v>1.2345679012319934E-6</v>
      </c>
      <c r="N16" s="22">
        <f>('BFI Scores'!S16-'BFI Scores'!D16)^2</f>
        <v>1.4373345679012377</v>
      </c>
      <c r="O16" s="22">
        <f>('BFI Scores'!T16-'BFI Scores'!E16)^2</f>
        <v>6.5024999999999944E-2</v>
      </c>
      <c r="P16" s="22">
        <f>('BFI Scores'!U16-'BFI Scores'!F16)^2</f>
        <v>0.17639999999999995</v>
      </c>
      <c r="Q16" s="22">
        <f>('BFI Scores'!V16-'BFI Scores'!B16)^2</f>
        <v>0.42249999999999988</v>
      </c>
      <c r="R16" s="22">
        <f>('BFI Scores'!W16-'BFI Scores'!C16)^2</f>
        <v>8.933456790123516E-2</v>
      </c>
      <c r="S16" s="22">
        <f>('BFI Scores'!X16-'BFI Scores'!D16)^2</f>
        <v>0.4282975308642053</v>
      </c>
      <c r="T16" s="22">
        <f>('BFI Scores'!Y16-'BFI Scores'!E16)^2</f>
        <v>4.0000000000001845E-4</v>
      </c>
      <c r="U16" s="22">
        <f>('BFI Scores'!Z16-'BFI Scores'!F16)^2</f>
        <v>0.29160000000000003</v>
      </c>
      <c r="V16" s="29">
        <f>('BFI Scores'!AA16-'BFI Scores'!B16)^2</f>
        <v>2.2499999999999975E-2</v>
      </c>
      <c r="W16" s="29">
        <f>('BFI Scores'!AB16-'BFI Scores'!C16)^2</f>
        <v>3.2111111111103536E-3</v>
      </c>
      <c r="X16" s="29">
        <f>('BFI Scores'!AC16-'BFI Scores'!D16)^2</f>
        <v>2.3818777777777687</v>
      </c>
      <c r="Y16" s="29">
        <f>('BFI Scores'!AD16-'BFI Scores'!E16)^2</f>
        <v>5.4056249999999965E-2</v>
      </c>
      <c r="Z16" s="29">
        <f>('BFI Scores'!AE16-'BFI Scores'!F16)^2</f>
        <v>3.6100000000000146E-2</v>
      </c>
      <c r="AA16" s="29">
        <f>('BFI Scores'!AF16-'BFI Scores'!B16)^2</f>
        <v>0.22562500000000008</v>
      </c>
      <c r="AB16" s="29">
        <f>('BFI Scores'!AG16-'BFI Scores'!C16)^2</f>
        <v>8.4100000000000022E-2</v>
      </c>
      <c r="AC16" s="29">
        <f>('BFI Scores'!AH16-'BFI Scores'!D16)^2</f>
        <v>2.1478530864197674</v>
      </c>
      <c r="AD16" s="29">
        <f>('BFI Scores'!AI16-'BFI Scores'!E16)^2</f>
        <v>0.62805624999999998</v>
      </c>
      <c r="AE16" s="29">
        <f>('BFI Scores'!AJ16-'BFI Scores'!F16)^2</f>
        <v>0.30250000000000027</v>
      </c>
      <c r="AF16" s="23">
        <f t="shared" si="0"/>
        <v>0.77119679012346021</v>
      </c>
      <c r="AG16" s="23">
        <f t="shared" si="1"/>
        <v>1.0803521604938298</v>
      </c>
      <c r="AH16" s="23">
        <f t="shared" si="2"/>
        <v>0.45203341049382784</v>
      </c>
      <c r="AI16" s="23">
        <f t="shared" si="3"/>
        <v>0.2464264197530881</v>
      </c>
      <c r="AJ16" s="30">
        <f t="shared" si="4"/>
        <v>0.49954902777777582</v>
      </c>
      <c r="AK16" s="30">
        <f t="shared" si="5"/>
        <v>0.67762686728395349</v>
      </c>
    </row>
    <row r="17" spans="1:37" x14ac:dyDescent="0.2">
      <c r="A17" s="21">
        <v>29937</v>
      </c>
      <c r="B17" s="22">
        <f>('BFI Scores'!G17-'BFI Scores'!B17)^2</f>
        <v>5.6250000000000267E-3</v>
      </c>
      <c r="C17" s="22">
        <f>('BFI Scores'!H17-'BFI Scores'!C17)^2</f>
        <v>0.33254444444444803</v>
      </c>
      <c r="D17" s="22">
        <f>('BFI Scores'!I17-'BFI Scores'!D17)^2</f>
        <v>1.1306777777777912</v>
      </c>
      <c r="E17" s="22">
        <f>('BFI Scores'!J17-'BFI Scores'!E17)^2</f>
        <v>0.52562500000000012</v>
      </c>
      <c r="F17" s="22">
        <f>('BFI Scores'!K17-'BFI Scores'!F17)^2</f>
        <v>0.19359999999999997</v>
      </c>
      <c r="G17" s="22">
        <f>('BFI Scores'!L17-'BFI Scores'!B17)^2</f>
        <v>0.34515624999999989</v>
      </c>
      <c r="H17" s="22">
        <f>('BFI Scores'!M17-'BFI Scores'!C17)^2</f>
        <v>0.88987777777777111</v>
      </c>
      <c r="I17" s="22">
        <f>('BFI Scores'!N17-'BFI Scores'!D17)^2</f>
        <v>1.3533444444444604</v>
      </c>
      <c r="J17" s="22">
        <f>('BFI Scores'!O17-'BFI Scores'!E17)^2</f>
        <v>1.8225000000000002</v>
      </c>
      <c r="K17" s="22">
        <f>('BFI Scores'!P17-'BFI Scores'!F17)^2</f>
        <v>0.4899999999999996</v>
      </c>
      <c r="L17" s="22">
        <f>('BFI Scores'!Q17-'BFI Scores'!B17)^2</f>
        <v>0.62015625000000019</v>
      </c>
      <c r="M17" s="22">
        <f>('BFI Scores'!R17-'BFI Scores'!C17)^2</f>
        <v>1.8952111111110934</v>
      </c>
      <c r="N17" s="22">
        <f>('BFI Scores'!S17-'BFI Scores'!D17)^2</f>
        <v>0.14865308641975641</v>
      </c>
      <c r="O17" s="22">
        <f>('BFI Scores'!T17-'BFI Scores'!E17)^2</f>
        <v>2.640625000000003E-2</v>
      </c>
      <c r="P17" s="22">
        <f>('BFI Scores'!U17-'BFI Scores'!F17)^2</f>
        <v>0.12250000000000007</v>
      </c>
      <c r="Q17" s="22">
        <f>('BFI Scores'!V17-'BFI Scores'!B17)^2</f>
        <v>2.6814062500000007</v>
      </c>
      <c r="R17" s="22">
        <f>('BFI Scores'!W17-'BFI Scores'!C17)^2</f>
        <v>0.88987777777777111</v>
      </c>
      <c r="S17" s="22">
        <f>('BFI Scores'!X17-'BFI Scores'!D17)^2</f>
        <v>6.9344444444442738E-2</v>
      </c>
      <c r="T17" s="22">
        <f>('BFI Scores'!Y17-'BFI Scores'!E17)^2</f>
        <v>0.765625</v>
      </c>
      <c r="U17" s="22">
        <f>('BFI Scores'!Z17-'BFI Scores'!F17)^2</f>
        <v>2.6243999999999987</v>
      </c>
      <c r="V17" s="29">
        <f>('BFI Scores'!AA17-'BFI Scores'!B17)^2</f>
        <v>0.2626562500000002</v>
      </c>
      <c r="W17" s="29">
        <f>('BFI Scores'!AB17-'BFI Scores'!C17)^2</f>
        <v>0.35866790123456888</v>
      </c>
      <c r="X17" s="29">
        <f>('BFI Scores'!AC17-'BFI Scores'!D17)^2</f>
        <v>0.3173444444444406</v>
      </c>
      <c r="Y17" s="29">
        <f>('BFI Scores'!AD17-'BFI Scores'!E17)^2</f>
        <v>0.3751562499999998</v>
      </c>
      <c r="Z17" s="29">
        <f>('BFI Scores'!AE17-'BFI Scores'!F17)^2</f>
        <v>0.28089999999999982</v>
      </c>
      <c r="AA17" s="29">
        <f>('BFI Scores'!AF17-'BFI Scores'!B17)^2</f>
        <v>2.640625</v>
      </c>
      <c r="AB17" s="29">
        <f>('BFI Scores'!AG17-'BFI Scores'!C17)^2</f>
        <v>1.5458777777777697</v>
      </c>
      <c r="AC17" s="29">
        <f>('BFI Scores'!AH17-'BFI Scores'!D17)^2</f>
        <v>0.80401111111111723</v>
      </c>
      <c r="AD17" s="29">
        <f>('BFI Scores'!AI17-'BFI Scores'!E17)^2</f>
        <v>1.2376562500000001</v>
      </c>
      <c r="AE17" s="29">
        <f>('BFI Scores'!AJ17-'BFI Scores'!F17)^2</f>
        <v>0.99999999999999911</v>
      </c>
      <c r="AF17" s="23">
        <f t="shared" si="0"/>
        <v>0.43761444444444786</v>
      </c>
      <c r="AG17" s="23">
        <f t="shared" si="1"/>
        <v>0.98017569444444619</v>
      </c>
      <c r="AH17" s="23">
        <f t="shared" si="2"/>
        <v>0.56258533950616996</v>
      </c>
      <c r="AI17" s="23">
        <f t="shared" si="3"/>
        <v>1.4061306944444427</v>
      </c>
      <c r="AJ17" s="30">
        <f t="shared" si="4"/>
        <v>0.31894496913580184</v>
      </c>
      <c r="AK17" s="30">
        <f t="shared" si="5"/>
        <v>1.4456340277777775</v>
      </c>
    </row>
    <row r="18" spans="1:37" x14ac:dyDescent="0.2">
      <c r="A18" s="21">
        <v>30122</v>
      </c>
      <c r="B18" s="22">
        <f>('BFI Scores'!G18-'BFI Scores'!B18)^2</f>
        <v>0.14630625000000022</v>
      </c>
      <c r="C18" s="22">
        <f>('BFI Scores'!H18-'BFI Scores'!C18)^2</f>
        <v>1.4271604938272712E-3</v>
      </c>
      <c r="D18" s="22">
        <f>('BFI Scores'!I18-'BFI Scores'!D18)^2</f>
        <v>5.0375308641973315E-2</v>
      </c>
      <c r="E18" s="22">
        <f>('BFI Scores'!J18-'BFI Scores'!E18)^2</f>
        <v>4.8399999999999888E-2</v>
      </c>
      <c r="F18" s="22">
        <f>('BFI Scores'!K18-'BFI Scores'!F18)^2</f>
        <v>7.2899999999999771E-2</v>
      </c>
      <c r="G18" s="22">
        <f>('BFI Scores'!L18-'BFI Scores'!B18)^2</f>
        <v>0.23280624999999994</v>
      </c>
      <c r="H18" s="22">
        <f>('BFI Scores'!M18-'BFI Scores'!C18)^2</f>
        <v>0.26579753086420188</v>
      </c>
      <c r="I18" s="22">
        <f>('BFI Scores'!N18-'BFI Scores'!D18)^2</f>
        <v>0.8752641975308536</v>
      </c>
      <c r="J18" s="22">
        <f>('BFI Scores'!O18-'BFI Scores'!E18)^2</f>
        <v>0.38130624999999962</v>
      </c>
      <c r="K18" s="22">
        <f>('BFI Scores'!P18-'BFI Scores'!F18)^2</f>
        <v>1.932099999999999</v>
      </c>
      <c r="L18" s="22">
        <f>('BFI Scores'!Q18-'BFI Scores'!B18)^2</f>
        <v>3.0888062500000011</v>
      </c>
      <c r="M18" s="22">
        <f>('BFI Scores'!R18-'BFI Scores'!C18)^2</f>
        <v>4.2711111111112719E-2</v>
      </c>
      <c r="N18" s="22">
        <f>('BFI Scores'!S18-'BFI Scores'!D18)^2</f>
        <v>0.47763456790123288</v>
      </c>
      <c r="O18" s="22">
        <f>('BFI Scores'!T18-'BFI Scores'!E18)^2</f>
        <v>0.60839999999999972</v>
      </c>
      <c r="P18" s="22">
        <f>('BFI Scores'!U18-'BFI Scores'!F18)^2</f>
        <v>0.86489999999999945</v>
      </c>
      <c r="Q18" s="22">
        <f>('BFI Scores'!V18-'BFI Scores'!B18)^2</f>
        <v>4.3368062500000004</v>
      </c>
      <c r="R18" s="22">
        <f>('BFI Scores'!W18-'BFI Scores'!C18)^2</f>
        <v>5.1377777777778945E-2</v>
      </c>
      <c r="S18" s="22">
        <f>('BFI Scores'!X18-'BFI Scores'!D18)^2</f>
        <v>2.3579308641975438</v>
      </c>
      <c r="T18" s="22">
        <f>('BFI Scores'!Y18-'BFI Scores'!E18)^2</f>
        <v>1.5438062499999994</v>
      </c>
      <c r="U18" s="22">
        <f>('BFI Scores'!Z18-'BFI Scores'!F18)^2</f>
        <v>3.8808999999999991</v>
      </c>
      <c r="V18" s="29">
        <f>('BFI Scores'!AA18-'BFI Scores'!B18)^2</f>
        <v>1.6448062500000005</v>
      </c>
      <c r="W18" s="29">
        <f>('BFI Scores'!AB18-'BFI Scores'!C18)^2</f>
        <v>1.9600000000000159E-2</v>
      </c>
      <c r="X18" s="29">
        <f>('BFI Scores'!AC18-'BFI Scores'!D18)^2</f>
        <v>0.33639999999999959</v>
      </c>
      <c r="Y18" s="29">
        <f>('BFI Scores'!AD18-'BFI Scores'!E18)^2</f>
        <v>2.8899999999999974E-2</v>
      </c>
      <c r="Z18" s="29">
        <f>('BFI Scores'!AE18-'BFI Scores'!F18)^2</f>
        <v>7.2899999999999771E-2</v>
      </c>
      <c r="AA18" s="29">
        <f>('BFI Scores'!AF18-'BFI Scores'!B18)^2</f>
        <v>1.2544000000000002</v>
      </c>
      <c r="AB18" s="29">
        <f>('BFI Scores'!AG18-'BFI Scores'!C18)^2</f>
        <v>7.3501234567900614E-2</v>
      </c>
      <c r="AC18" s="29">
        <f>('BFI Scores'!AH18-'BFI Scores'!D18)^2</f>
        <v>2.4963999999999986</v>
      </c>
      <c r="AD18" s="29">
        <f>('BFI Scores'!AI18-'BFI Scores'!E18)^2</f>
        <v>0.98505624999999941</v>
      </c>
      <c r="AE18" s="29">
        <f>('BFI Scores'!AJ18-'BFI Scores'!F18)^2</f>
        <v>1.8224999999999991</v>
      </c>
      <c r="AF18" s="23">
        <f t="shared" si="0"/>
        <v>6.3881743827160095E-2</v>
      </c>
      <c r="AG18" s="23">
        <f t="shared" si="1"/>
        <v>0.73745484567901087</v>
      </c>
      <c r="AH18" s="23">
        <f t="shared" si="2"/>
        <v>1.0164903858024692</v>
      </c>
      <c r="AI18" s="23">
        <f t="shared" si="3"/>
        <v>2.4341642283950642</v>
      </c>
      <c r="AJ18" s="30">
        <f t="shared" si="4"/>
        <v>0.42052125000000001</v>
      </c>
      <c r="AK18" s="30">
        <f t="shared" si="5"/>
        <v>1.3263714969135796</v>
      </c>
    </row>
    <row r="19" spans="1:37" x14ac:dyDescent="0.2">
      <c r="A19" s="21">
        <v>31717</v>
      </c>
      <c r="B19" s="22">
        <f>('BFI Scores'!G19-'BFI Scores'!B19)^2</f>
        <v>0.2450250000000001</v>
      </c>
      <c r="C19" s="22">
        <f>('BFI Scores'!H19-'BFI Scores'!C19)^2</f>
        <v>0.46391234567901096</v>
      </c>
      <c r="D19" s="22">
        <f>('BFI Scores'!I19-'BFI Scores'!D19)^2</f>
        <v>1.4667901234567647E-2</v>
      </c>
      <c r="E19" s="22">
        <f>('BFI Scores'!J19-'BFI Scores'!E19)^2</f>
        <v>0.87890625</v>
      </c>
      <c r="F19" s="22">
        <f>('BFI Scores'!K19-'BFI Scores'!F19)^2</f>
        <v>0.39690000000000042</v>
      </c>
      <c r="G19" s="22">
        <f>('BFI Scores'!L19-'BFI Scores'!B19)^2</f>
        <v>8.5556249999999986E-2</v>
      </c>
      <c r="H19" s="22">
        <f>('BFI Scores'!M19-'BFI Scores'!C19)^2</f>
        <v>0.15383827160493654</v>
      </c>
      <c r="I19" s="22">
        <f>('BFI Scores'!N19-'BFI Scores'!D19)^2</f>
        <v>0.42829753086419137</v>
      </c>
      <c r="J19" s="22">
        <f>('BFI Scores'!O19-'BFI Scores'!E19)^2</f>
        <v>3.0625</v>
      </c>
      <c r="K19" s="22">
        <f>('BFI Scores'!P19-'BFI Scores'!F19)^2</f>
        <v>0.33640000000000009</v>
      </c>
      <c r="L19" s="22">
        <f>('BFI Scores'!Q19-'BFI Scores'!B19)^2</f>
        <v>1.6448062500000005</v>
      </c>
      <c r="M19" s="22">
        <f>('BFI Scores'!R19-'BFI Scores'!C19)^2</f>
        <v>0.98450493827160079</v>
      </c>
      <c r="N19" s="22">
        <f>('BFI Scores'!S19-'BFI Scores'!D19)^2</f>
        <v>0.15037160493827351</v>
      </c>
      <c r="O19" s="22">
        <f>('BFI Scores'!T19-'BFI Scores'!E19)^2</f>
        <v>6.2499999999999557E-4</v>
      </c>
      <c r="P19" s="22">
        <f>('BFI Scores'!U19-'BFI Scores'!F19)^2</f>
        <v>0.59290000000000032</v>
      </c>
      <c r="Q19" s="22">
        <f>('BFI Scores'!V19-'BFI Scores'!B19)^2</f>
        <v>0.71402500000000035</v>
      </c>
      <c r="R19" s="22">
        <f>('BFI Scores'!W19-'BFI Scores'!C19)^2</f>
        <v>0.54267777777778259</v>
      </c>
      <c r="S19" s="22">
        <f>('BFI Scores'!X19-'BFI Scores'!D19)^2</f>
        <v>0.53940864197530247</v>
      </c>
      <c r="T19" s="22">
        <f>('BFI Scores'!Y19-'BFI Scores'!E19)^2</f>
        <v>1.12890625</v>
      </c>
      <c r="U19" s="22">
        <f>('BFI Scores'!Z19-'BFI Scores'!F19)^2</f>
        <v>6.7600000000000118E-2</v>
      </c>
      <c r="V19" s="29">
        <f>('BFI Scores'!AA19-'BFI Scores'!B19)^2</f>
        <v>0.99002500000000027</v>
      </c>
      <c r="W19" s="29">
        <f>('BFI Scores'!AB19-'BFI Scores'!C19)^2</f>
        <v>0.55917160493827511</v>
      </c>
      <c r="X19" s="29">
        <f>('BFI Scores'!AC19-'BFI Scores'!D19)^2</f>
        <v>1.4667901234567647E-2</v>
      </c>
      <c r="Y19" s="29">
        <f>('BFI Scores'!AD19-'BFI Scores'!E19)^2</f>
        <v>0.78765625000000028</v>
      </c>
      <c r="Z19" s="29">
        <f>('BFI Scores'!AE19-'BFI Scores'!F19)^2</f>
        <v>0.49000000000000027</v>
      </c>
      <c r="AA19" s="29">
        <f>('BFI Scores'!AF19-'BFI Scores'!B19)^2</f>
        <v>0.10240000000000019</v>
      </c>
      <c r="AB19" s="29">
        <f>('BFI Scores'!AG19-'BFI Scores'!C19)^2</f>
        <v>0.52643086419752272</v>
      </c>
      <c r="AC19" s="29">
        <f>('BFI Scores'!AH19-'BFI Scores'!D19)^2</f>
        <v>0.15037160493827351</v>
      </c>
      <c r="AD19" s="29">
        <f>('BFI Scores'!AI19-'BFI Scores'!E19)^2</f>
        <v>2.9326562499999995</v>
      </c>
      <c r="AE19" s="29">
        <f>('BFI Scores'!AJ19-'BFI Scores'!F19)^2</f>
        <v>0.40960000000000019</v>
      </c>
      <c r="AF19" s="23">
        <f t="shared" si="0"/>
        <v>0.39988229938271586</v>
      </c>
      <c r="AG19" s="23">
        <f t="shared" si="1"/>
        <v>0.81331841049382558</v>
      </c>
      <c r="AH19" s="23">
        <f t="shared" si="2"/>
        <v>0.67464155864197495</v>
      </c>
      <c r="AI19" s="23">
        <f t="shared" si="3"/>
        <v>0.59852353395061708</v>
      </c>
      <c r="AJ19" s="30">
        <f t="shared" si="4"/>
        <v>0.56830415123456868</v>
      </c>
      <c r="AK19" s="30">
        <f t="shared" si="5"/>
        <v>0.8242917438271592</v>
      </c>
    </row>
    <row r="20" spans="1:37" x14ac:dyDescent="0.2">
      <c r="A20" s="21">
        <v>32418</v>
      </c>
      <c r="B20" s="22">
        <f>('BFI Scores'!G20-'BFI Scores'!B20)^2</f>
        <v>0.12250000000000007</v>
      </c>
      <c r="C20" s="22">
        <f>('BFI Scores'!H20-'BFI Scores'!C20)^2</f>
        <v>0.58098271604938023</v>
      </c>
      <c r="D20" s="22">
        <f>('BFI Scores'!I20-'BFI Scores'!D20)^2</f>
        <v>6.5479123456790189</v>
      </c>
      <c r="E20" s="22">
        <f>('BFI Scores'!J20-'BFI Scores'!E20)^2</f>
        <v>4.3056250000000004E-2</v>
      </c>
      <c r="F20" s="22">
        <f>('BFI Scores'!K20-'BFI Scores'!F20)^2</f>
        <v>1.4400000000000026E-2</v>
      </c>
      <c r="G20" s="22">
        <f>('BFI Scores'!L20-'BFI Scores'!B20)^2</f>
        <v>1.1826562499999997</v>
      </c>
      <c r="H20" s="22">
        <f>('BFI Scores'!M20-'BFI Scores'!C20)^2</f>
        <v>0.14779753086420208</v>
      </c>
      <c r="I20" s="22">
        <f>('BFI Scores'!N20-'BFI Scores'!D20)^2</f>
        <v>3.2520111111110994</v>
      </c>
      <c r="J20" s="22">
        <f>('BFI Scores'!O20-'BFI Scores'!E20)^2</f>
        <v>7.9806250000000106E-2</v>
      </c>
      <c r="K20" s="22">
        <f>('BFI Scores'!P20-'BFI Scores'!F20)^2</f>
        <v>0.3248999999999998</v>
      </c>
      <c r="L20" s="22">
        <f>('BFI Scores'!Q20-'BFI Scores'!B20)^2</f>
        <v>1.1024999999999996</v>
      </c>
      <c r="M20" s="22">
        <f>('BFI Scores'!R20-'BFI Scores'!C20)^2</f>
        <v>2.4059456790123428</v>
      </c>
      <c r="N20" s="22">
        <f>('BFI Scores'!S20-'BFI Scores'!D20)^2</f>
        <v>5.8295419753086675</v>
      </c>
      <c r="O20" s="22">
        <f>('BFI Scores'!T20-'BFI Scores'!E20)^2</f>
        <v>6.6306250000000039E-2</v>
      </c>
      <c r="P20" s="22">
        <f>('BFI Scores'!U20-'BFI Scores'!F20)^2</f>
        <v>0.25</v>
      </c>
      <c r="Q20" s="22">
        <f>('BFI Scores'!V20-'BFI Scores'!B20)^2</f>
        <v>0.15015625000000013</v>
      </c>
      <c r="R20" s="22">
        <f>('BFI Scores'!W20-'BFI Scores'!C20)^2</f>
        <v>2.2035753086419629</v>
      </c>
      <c r="S20" s="22">
        <f>('BFI Scores'!X20-'BFI Scores'!D20)^2</f>
        <v>5.7227271604938164</v>
      </c>
      <c r="T20" s="22">
        <f>('BFI Scores'!Y20-'BFI Scores'!E20)^2</f>
        <v>1.4280250000000008</v>
      </c>
      <c r="U20" s="22">
        <f>('BFI Scores'!Z20-'BFI Scores'!F20)^2</f>
        <v>0.10239999999999989</v>
      </c>
      <c r="V20" s="29">
        <f>('BFI Scores'!AA20-'BFI Scores'!B20)^2</f>
        <v>0.18062499999999984</v>
      </c>
      <c r="W20" s="29">
        <f>('BFI Scores'!AB20-'BFI Scores'!C20)^2</f>
        <v>0.99113086419754004</v>
      </c>
      <c r="X20" s="29">
        <f>('BFI Scores'!AC20-'BFI Scores'!D20)^2</f>
        <v>6.7773444444444264</v>
      </c>
      <c r="Y20" s="29">
        <f>('BFI Scores'!AD20-'BFI Scores'!E20)^2</f>
        <v>0.10240000000000005</v>
      </c>
      <c r="Z20" s="29">
        <f>('BFI Scores'!AE20-'BFI Scores'!F20)^2</f>
        <v>0</v>
      </c>
      <c r="AA20" s="29">
        <f>('BFI Scores'!AF20-'BFI Scores'!B20)^2</f>
        <v>0.18062499999999984</v>
      </c>
      <c r="AB20" s="29">
        <f>('BFI Scores'!AG20-'BFI Scores'!C20)^2</f>
        <v>0.16537777777778109</v>
      </c>
      <c r="AC20" s="29">
        <f>('BFI Scores'!AH20-'BFI Scores'!D20)^2</f>
        <v>6.4911716049382822</v>
      </c>
      <c r="AD20" s="29">
        <f>('BFI Scores'!AI20-'BFI Scores'!E20)^2</f>
        <v>5.6250000000000934E-5</v>
      </c>
      <c r="AE20" s="29">
        <f>('BFI Scores'!AJ20-'BFI Scores'!F20)^2</f>
        <v>7.8399999999999886E-2</v>
      </c>
      <c r="AF20" s="23">
        <f t="shared" si="0"/>
        <v>1.4617702623456799</v>
      </c>
      <c r="AG20" s="23">
        <f t="shared" si="1"/>
        <v>0.99743422839506013</v>
      </c>
      <c r="AH20" s="23">
        <f t="shared" si="2"/>
        <v>1.9308587808642019</v>
      </c>
      <c r="AI20" s="23">
        <f t="shared" si="3"/>
        <v>1.9213767438271561</v>
      </c>
      <c r="AJ20" s="30">
        <f t="shared" si="4"/>
        <v>1.6103000617283931</v>
      </c>
      <c r="AK20" s="30">
        <f t="shared" si="5"/>
        <v>1.3831261265432127</v>
      </c>
    </row>
    <row r="21" spans="1:37" x14ac:dyDescent="0.2">
      <c r="A21" s="21">
        <v>32999</v>
      </c>
      <c r="B21" s="22">
        <f>('BFI Scores'!G21-'BFI Scores'!B21)^2</f>
        <v>0.58140625000000024</v>
      </c>
      <c r="C21" s="22">
        <f>('BFI Scores'!H21-'BFI Scores'!C21)^2</f>
        <v>1.4271604938272712E-3</v>
      </c>
      <c r="D21" s="22">
        <f>('BFI Scores'!I21-'BFI Scores'!D21)^2</f>
        <v>4.363456790123485E-2</v>
      </c>
      <c r="E21" s="22">
        <f>('BFI Scores'!J21-'BFI Scores'!E21)^2</f>
        <v>0.90249999999999997</v>
      </c>
      <c r="F21" s="22">
        <f>('BFI Scores'!K21-'BFI Scores'!F21)^2</f>
        <v>3.0975999999999995</v>
      </c>
      <c r="G21" s="22">
        <f>('BFI Scores'!L21-'BFI Scores'!B21)^2</f>
        <v>1.8906250000000048E-2</v>
      </c>
      <c r="H21" s="22">
        <f>('BFI Scores'!M21-'BFI Scores'!C21)^2</f>
        <v>0.56416790123456684</v>
      </c>
      <c r="I21" s="22">
        <f>('BFI Scores'!N21-'BFI Scores'!D21)^2</f>
        <v>1.2296345679012368</v>
      </c>
      <c r="J21" s="22">
        <f>('BFI Scores'!O21-'BFI Scores'!E21)^2</f>
        <v>1.8906250000000048E-2</v>
      </c>
      <c r="K21" s="22">
        <f>('BFI Scores'!P21-'BFI Scores'!F21)^2</f>
        <v>4.4099999999999984</v>
      </c>
      <c r="L21" s="22">
        <f>('BFI Scores'!Q21-'BFI Scores'!B21)^2</f>
        <v>2.5600000000000005</v>
      </c>
      <c r="M21" s="22">
        <f>('BFI Scores'!R21-'BFI Scores'!C21)^2</f>
        <v>3.1604938271614821E-4</v>
      </c>
      <c r="N21" s="22">
        <f>('BFI Scores'!S21-'BFI Scores'!D21)^2</f>
        <v>0.76659753086420468</v>
      </c>
      <c r="O21" s="22">
        <f>('BFI Scores'!T21-'BFI Scores'!E21)^2</f>
        <v>0.80999999999999983</v>
      </c>
      <c r="P21" s="22">
        <f>('BFI Scores'!U21-'BFI Scores'!F21)^2</f>
        <v>2.656899999999998</v>
      </c>
      <c r="Q21" s="22">
        <f>('BFI Scores'!V21-'BFI Scores'!B21)^2</f>
        <v>0.40640625000000025</v>
      </c>
      <c r="R21" s="22">
        <f>('BFI Scores'!W21-'BFI Scores'!C21)^2</f>
        <v>1.1760197530864329</v>
      </c>
      <c r="S21" s="22">
        <f>('BFI Scores'!X21-'BFI Scores'!D21)^2</f>
        <v>4.3079308641975489</v>
      </c>
      <c r="T21" s="22">
        <f>('BFI Scores'!Y21-'BFI Scores'!E21)^2</f>
        <v>2.3639062500000003</v>
      </c>
      <c r="U21" s="22">
        <f>('BFI Scores'!Z21-'BFI Scores'!F21)^2</f>
        <v>4.1615999999999982</v>
      </c>
      <c r="V21" s="29">
        <f>('BFI Scores'!AA21-'BFI Scores'!B21)^2</f>
        <v>2.44140625</v>
      </c>
      <c r="W21" s="29">
        <f>('BFI Scores'!AB21-'BFI Scores'!C21)^2</f>
        <v>2.3901234567901761E-3</v>
      </c>
      <c r="X21" s="29">
        <f>('BFI Scores'!AC21-'BFI Scores'!D21)^2</f>
        <v>7.593086419753306E-2</v>
      </c>
      <c r="Y21" s="29">
        <f>('BFI Scores'!AD21-'BFI Scores'!E21)^2</f>
        <v>1</v>
      </c>
      <c r="Z21" s="29">
        <f>('BFI Scores'!AE21-'BFI Scores'!F21)^2</f>
        <v>3.3488999999999987</v>
      </c>
      <c r="AA21" s="29">
        <f>('BFI Scores'!AF21-'BFI Scores'!B21)^2</f>
        <v>0.22562500000000008</v>
      </c>
      <c r="AB21" s="29">
        <f>('BFI Scores'!AG21-'BFI Scores'!C21)^2</f>
        <v>0.54760000000000031</v>
      </c>
      <c r="AC21" s="29">
        <f>('BFI Scores'!AH21-'BFI Scores'!D21)^2</f>
        <v>2.2767456790123486</v>
      </c>
      <c r="AD21" s="29">
        <f>('BFI Scores'!AI21-'BFI Scores'!E21)^2</f>
        <v>6.25E-2</v>
      </c>
      <c r="AE21" s="29">
        <f>('BFI Scores'!AJ21-'BFI Scores'!F21)^2</f>
        <v>4.2848999999999995</v>
      </c>
      <c r="AF21" s="23">
        <f t="shared" si="0"/>
        <v>0.9253135956790125</v>
      </c>
      <c r="AG21" s="23">
        <f t="shared" si="1"/>
        <v>1.2483229938271605</v>
      </c>
      <c r="AH21" s="23">
        <f t="shared" si="2"/>
        <v>1.3587627160493838</v>
      </c>
      <c r="AI21" s="23">
        <f t="shared" si="3"/>
        <v>2.4831726234567961</v>
      </c>
      <c r="AJ21" s="30">
        <f t="shared" si="4"/>
        <v>1.3737254475308645</v>
      </c>
      <c r="AK21" s="30">
        <f t="shared" si="5"/>
        <v>1.4794741358024699</v>
      </c>
    </row>
    <row r="22" spans="1:37" x14ac:dyDescent="0.2">
      <c r="A22" s="21">
        <v>33211</v>
      </c>
      <c r="B22" s="22">
        <f>('BFI Scores'!G22-'BFI Scores'!B22)^2</f>
        <v>0.2756249999999999</v>
      </c>
      <c r="C22" s="22">
        <f>('BFI Scores'!H22-'BFI Scores'!C22)^2</f>
        <v>0.10816790123456871</v>
      </c>
      <c r="D22" s="22">
        <f>('BFI Scores'!I22-'BFI Scores'!D22)^2</f>
        <v>2.4893827160494462E-2</v>
      </c>
      <c r="E22" s="22">
        <f>('BFI Scores'!J22-'BFI Scores'!E22)^2</f>
        <v>1</v>
      </c>
      <c r="F22" s="22">
        <f>('BFI Scores'!K22-'BFI Scores'!F22)^2</f>
        <v>3.9999999999999897E-2</v>
      </c>
      <c r="G22" s="22">
        <f>('BFI Scores'!L22-'BFI Scores'!B22)^2</f>
        <v>1.0000000000000018E-2</v>
      </c>
      <c r="H22" s="22">
        <f>('BFI Scores'!M22-'BFI Scores'!C22)^2</f>
        <v>0.42394567901234465</v>
      </c>
      <c r="I22" s="22">
        <f>('BFI Scores'!N22-'BFI Scores'!D22)^2</f>
        <v>0.47763456790123288</v>
      </c>
      <c r="J22" s="22">
        <f>('BFI Scores'!O22-'BFI Scores'!E22)^2</f>
        <v>2.9756250000000004</v>
      </c>
      <c r="K22" s="22">
        <f>('BFI Scores'!P22-'BFI Scores'!F22)^2</f>
        <v>0.38439999999999958</v>
      </c>
      <c r="L22" s="22">
        <f>('BFI Scores'!Q22-'BFI Scores'!B22)^2</f>
        <v>0.12250000000000007</v>
      </c>
      <c r="M22" s="22">
        <f>('BFI Scores'!R22-'BFI Scores'!C22)^2</f>
        <v>0.26809382716049623</v>
      </c>
      <c r="N22" s="22">
        <f>('BFI Scores'!S22-'BFI Scores'!D22)^2</f>
        <v>9.679012345678446E-4</v>
      </c>
      <c r="O22" s="22">
        <f>('BFI Scores'!T22-'BFI Scores'!E22)^2</f>
        <v>0.78765625000000028</v>
      </c>
      <c r="P22" s="22">
        <f>('BFI Scores'!U22-'BFI Scores'!F22)^2</f>
        <v>8.4100000000000022E-2</v>
      </c>
      <c r="Q22" s="22">
        <f>('BFI Scores'!V22-'BFI Scores'!B22)^2</f>
        <v>5.6250000000000267E-3</v>
      </c>
      <c r="R22" s="22">
        <f>('BFI Scores'!W22-'BFI Scores'!C22)^2</f>
        <v>0.42394567901234465</v>
      </c>
      <c r="S22" s="22">
        <f>('BFI Scores'!X22-'BFI Scores'!D22)^2</f>
        <v>0.30617777777777422</v>
      </c>
      <c r="T22" s="22">
        <f>('BFI Scores'!Y22-'BFI Scores'!E22)^2</f>
        <v>1.265625</v>
      </c>
      <c r="U22" s="22">
        <f>('BFI Scores'!Z22-'BFI Scores'!F22)^2</f>
        <v>1.8495999999999984</v>
      </c>
      <c r="V22" s="29">
        <f>('BFI Scores'!AA22-'BFI Scores'!B22)^2</f>
        <v>1.0000000000000018E-2</v>
      </c>
      <c r="W22" s="29">
        <f>('BFI Scores'!AB22-'BFI Scores'!C22)^2</f>
        <v>0.24557530864197946</v>
      </c>
      <c r="X22" s="29">
        <f>('BFI Scores'!AC22-'BFI Scores'!D22)^2</f>
        <v>3.4844444444445725E-2</v>
      </c>
      <c r="Y22" s="29">
        <f>('BFI Scores'!AD22-'BFI Scores'!E22)^2</f>
        <v>1.2376562500000001</v>
      </c>
      <c r="Z22" s="29">
        <f>('BFI Scores'!AE22-'BFI Scores'!F22)^2</f>
        <v>0.10239999999999989</v>
      </c>
      <c r="AA22" s="29">
        <f>('BFI Scores'!AF22-'BFI Scores'!B22)^2</f>
        <v>0.25</v>
      </c>
      <c r="AB22" s="29">
        <f>('BFI Scores'!AG22-'BFI Scores'!C22)^2</f>
        <v>0.14779753086420175</v>
      </c>
      <c r="AC22" s="29">
        <f>('BFI Scores'!AH22-'BFI Scores'!D22)^2</f>
        <v>8.8671604938273141E-2</v>
      </c>
      <c r="AD22" s="29">
        <f>('BFI Scores'!AI22-'BFI Scores'!E22)^2</f>
        <v>2.1025</v>
      </c>
      <c r="AE22" s="29">
        <f>('BFI Scores'!AJ22-'BFI Scores'!F22)^2</f>
        <v>0.4899999999999996</v>
      </c>
      <c r="AF22" s="23">
        <f t="shared" si="0"/>
        <v>0.28973734567901255</v>
      </c>
      <c r="AG22" s="23">
        <f t="shared" si="1"/>
        <v>0.85432104938271558</v>
      </c>
      <c r="AH22" s="23">
        <f t="shared" si="2"/>
        <v>0.25266359567901292</v>
      </c>
      <c r="AI22" s="23">
        <f t="shared" si="3"/>
        <v>0.77019469135802343</v>
      </c>
      <c r="AJ22" s="30">
        <f t="shared" si="4"/>
        <v>0.32609520061728503</v>
      </c>
      <c r="AK22" s="30">
        <f t="shared" si="5"/>
        <v>0.61579382716049502</v>
      </c>
    </row>
    <row r="23" spans="1:37" x14ac:dyDescent="0.2">
      <c r="A23" s="21">
        <v>33270</v>
      </c>
      <c r="B23" s="22">
        <f>('BFI Scores'!G23-'BFI Scores'!B23)^2</f>
        <v>0.14630625000000022</v>
      </c>
      <c r="C23" s="22">
        <f>('BFI Scores'!H23-'BFI Scores'!C23)^2</f>
        <v>0.3111160493827182</v>
      </c>
      <c r="D23" s="22">
        <f>('BFI Scores'!I23-'BFI Scores'!D23)^2</f>
        <v>2.5600000000000046E-2</v>
      </c>
      <c r="E23" s="22">
        <f>('BFI Scores'!J23-'BFI Scores'!E23)^2</f>
        <v>0.53289999999999993</v>
      </c>
      <c r="F23" s="22">
        <f>('BFI Scores'!K23-'BFI Scores'!F23)^2</f>
        <v>0.12250000000000007</v>
      </c>
      <c r="G23" s="22">
        <f>('BFI Scores'!L23-'BFI Scores'!B23)^2</f>
        <v>1.4400000000000026E-2</v>
      </c>
      <c r="H23" s="22">
        <f>('BFI Scores'!M23-'BFI Scores'!C23)^2</f>
        <v>0.50884444444443944</v>
      </c>
      <c r="I23" s="22">
        <f>('BFI Scores'!N23-'BFI Scores'!D23)^2</f>
        <v>1.6612345679012618E-2</v>
      </c>
      <c r="J23" s="22">
        <f>('BFI Scores'!O23-'BFI Scores'!E23)^2</f>
        <v>3.03630625</v>
      </c>
      <c r="K23" s="22">
        <f>('BFI Scores'!P23-'BFI Scores'!F23)^2</f>
        <v>1.6899999999999971E-2</v>
      </c>
      <c r="L23" s="22">
        <f>('BFI Scores'!Q23-'BFI Scores'!B23)^2</f>
        <v>0.17639999999999995</v>
      </c>
      <c r="M23" s="22">
        <f>('BFI Scores'!R23-'BFI Scores'!C23)^2</f>
        <v>1.0494864197530769</v>
      </c>
      <c r="N23" s="22">
        <f>('BFI Scores'!S23-'BFI Scores'!D23)^2</f>
        <v>0.20150123456790242</v>
      </c>
      <c r="O23" s="22">
        <f>('BFI Scores'!T23-'BFI Scores'!E23)^2</f>
        <v>0.91202499999999975</v>
      </c>
      <c r="P23" s="22">
        <f>('BFI Scores'!U23-'BFI Scores'!F23)^2</f>
        <v>0.50409999999999999</v>
      </c>
      <c r="Q23" s="22">
        <f>('BFI Scores'!V23-'BFI Scores'!B23)^2</f>
        <v>1.7755562499999999</v>
      </c>
      <c r="R23" s="22">
        <f>('BFI Scores'!W23-'BFI Scores'!C23)^2</f>
        <v>0.96039999999999992</v>
      </c>
      <c r="S23" s="22">
        <f>('BFI Scores'!X23-'BFI Scores'!D23)^2</f>
        <v>8.604444444444842E-2</v>
      </c>
      <c r="T23" s="22">
        <f>('BFI Scores'!Y23-'BFI Scores'!E23)^2</f>
        <v>0.96039999999999992</v>
      </c>
      <c r="U23" s="22">
        <f>('BFI Scores'!Z23-'BFI Scores'!F23)^2</f>
        <v>8.99999999999999E-2</v>
      </c>
      <c r="V23" s="29">
        <f>('BFI Scores'!AA23-'BFI Scores'!B23)^2</f>
        <v>0.14630625000000022</v>
      </c>
      <c r="W23" s="29">
        <f>('BFI Scores'!AB23-'BFI Scores'!C23)^2</f>
        <v>0.47763456790123288</v>
      </c>
      <c r="X23" s="29">
        <f>('BFI Scores'!AC23-'BFI Scores'!D23)^2</f>
        <v>0.11409382716049529</v>
      </c>
      <c r="Y23" s="29">
        <f>('BFI Scores'!AD23-'BFI Scores'!E23)^2</f>
        <v>3.7056249999999957E-2</v>
      </c>
      <c r="Z23" s="29">
        <f>('BFI Scores'!AE23-'BFI Scores'!F23)^2</f>
        <v>9.6100000000000033E-2</v>
      </c>
      <c r="AA23" s="29">
        <f>('BFI Scores'!AF23-'BFI Scores'!B23)^2</f>
        <v>0.27040000000000003</v>
      </c>
      <c r="AB23" s="29">
        <f>('BFI Scores'!AG23-'BFI Scores'!C23)^2</f>
        <v>0.60839999999999972</v>
      </c>
      <c r="AC23" s="29">
        <f>('BFI Scores'!AH23-'BFI Scores'!D23)^2</f>
        <v>8.3456790123462353E-4</v>
      </c>
      <c r="AD23" s="29">
        <f>('BFI Scores'!AI23-'BFI Scores'!E23)^2</f>
        <v>1.1935562499999997</v>
      </c>
      <c r="AE23" s="29">
        <f>('BFI Scores'!AJ23-'BFI Scores'!F23)^2</f>
        <v>3.9999999999999897E-2</v>
      </c>
      <c r="AF23" s="23">
        <f t="shared" si="0"/>
        <v>0.22768445987654368</v>
      </c>
      <c r="AG23" s="23">
        <f t="shared" si="1"/>
        <v>0.71861260802469051</v>
      </c>
      <c r="AH23" s="23">
        <f t="shared" si="2"/>
        <v>0.56870253086419587</v>
      </c>
      <c r="AI23" s="23">
        <f t="shared" si="3"/>
        <v>0.77448013888888967</v>
      </c>
      <c r="AJ23" s="30">
        <f t="shared" si="4"/>
        <v>0.17423817901234567</v>
      </c>
      <c r="AK23" s="30">
        <f t="shared" si="5"/>
        <v>0.42263816358024686</v>
      </c>
    </row>
    <row r="24" spans="1:37" x14ac:dyDescent="0.2">
      <c r="A24" s="21">
        <v>35669</v>
      </c>
      <c r="B24" s="22">
        <f>('BFI Scores'!G24-'BFI Scores'!B24)^2</f>
        <v>2.4180249999999992</v>
      </c>
      <c r="C24" s="22">
        <f>('BFI Scores'!H24-'BFI Scores'!C24)^2</f>
        <v>0.26123456790123362</v>
      </c>
      <c r="D24" s="22">
        <f>('BFI Scores'!I24-'BFI Scores'!D24)^2</f>
        <v>4.3171604938271706</v>
      </c>
      <c r="E24" s="22">
        <f>('BFI Scores'!J24-'BFI Scores'!E24)^2</f>
        <v>3.90625E-3</v>
      </c>
      <c r="F24" s="22">
        <f>('BFI Scores'!K24-'BFI Scores'!F24)^2</f>
        <v>3.9203999999999999</v>
      </c>
      <c r="G24" s="22">
        <f>('BFI Scores'!L24-'BFI Scores'!B24)^2</f>
        <v>1.1395562499999998</v>
      </c>
      <c r="H24" s="22">
        <f>('BFI Scores'!M24-'BFI Scores'!C24)^2</f>
        <v>0.20753086419752614</v>
      </c>
      <c r="I24" s="22">
        <f>('BFI Scores'!N24-'BFI Scores'!D24)^2</f>
        <v>5.0875308641975066</v>
      </c>
      <c r="J24" s="22">
        <f>('BFI Scores'!O24-'BFI Scores'!E24)^2</f>
        <v>0.58140625000000024</v>
      </c>
      <c r="K24" s="22">
        <f>('BFI Scores'!P24-'BFI Scores'!F24)^2</f>
        <v>3.1329000000000002</v>
      </c>
      <c r="L24" s="22">
        <f>('BFI Scores'!Q24-'BFI Scores'!B24)^2</f>
        <v>0.21855624999999981</v>
      </c>
      <c r="M24" s="22">
        <f>('BFI Scores'!R24-'BFI Scores'!C24)^2</f>
        <v>0.50567901234567791</v>
      </c>
      <c r="N24" s="22">
        <f>('BFI Scores'!S24-'BFI Scores'!D24)^2</f>
        <v>2.5600000000000005</v>
      </c>
      <c r="O24" s="22">
        <f>('BFI Scores'!T24-'BFI Scores'!E24)^2</f>
        <v>0.78765625000000028</v>
      </c>
      <c r="P24" s="22">
        <f>('BFI Scores'!U24-'BFI Scores'!F24)^2</f>
        <v>0.37209999999999988</v>
      </c>
      <c r="Q24" s="22">
        <f>('BFI Scores'!V24-'BFI Scores'!B24)^2</f>
        <v>0.51480624999999969</v>
      </c>
      <c r="R24" s="22">
        <f>('BFI Scores'!W24-'BFI Scores'!C24)^2</f>
        <v>4.9382716049381575E-2</v>
      </c>
      <c r="S24" s="22">
        <f>('BFI Scores'!X24-'BFI Scores'!D24)^2</f>
        <v>3.567901234567906</v>
      </c>
      <c r="T24" s="22">
        <f>('BFI Scores'!Y24-'BFI Scores'!E24)^2</f>
        <v>2.4806250000000007</v>
      </c>
      <c r="U24" s="22">
        <f>('BFI Scores'!Z24-'BFI Scores'!F24)^2</f>
        <v>0.92159999999999997</v>
      </c>
      <c r="V24" s="29">
        <f>('BFI Scores'!AA24-'BFI Scores'!B24)^2</f>
        <v>2.3028062500000002</v>
      </c>
      <c r="W24" s="29">
        <f>('BFI Scores'!AB24-'BFI Scores'!C24)^2</f>
        <v>0.14271604938271773</v>
      </c>
      <c r="X24" s="29">
        <f>('BFI Scores'!AC24-'BFI Scores'!D24)^2</f>
        <v>4.6464197530863967</v>
      </c>
      <c r="Y24" s="29">
        <f>('BFI Scores'!AD24-'BFI Scores'!E24)^2</f>
        <v>3.0625000000000017E-2</v>
      </c>
      <c r="Z24" s="29">
        <f>('BFI Scores'!AE24-'BFI Scores'!F24)^2</f>
        <v>2.3104</v>
      </c>
      <c r="AA24" s="29">
        <f>('BFI Scores'!AF24-'BFI Scores'!B24)^2</f>
        <v>4.2025000000000028E-2</v>
      </c>
      <c r="AB24" s="29">
        <f>('BFI Scores'!AG24-'BFI Scores'!C24)^2</f>
        <v>4.4567901234567588E-2</v>
      </c>
      <c r="AC24" s="29">
        <f>('BFI Scores'!AH24-'BFI Scores'!D24)^2</f>
        <v>3.7377777777777648</v>
      </c>
      <c r="AD24" s="29">
        <f>('BFI Scores'!AI24-'BFI Scores'!E24)^2</f>
        <v>0.42249999999999988</v>
      </c>
      <c r="AE24" s="29">
        <f>('BFI Scores'!AJ24-'BFI Scores'!F24)^2</f>
        <v>2.9584000000000006</v>
      </c>
      <c r="AF24" s="23">
        <f t="shared" si="0"/>
        <v>2.1841452623456807</v>
      </c>
      <c r="AG24" s="23">
        <f t="shared" si="1"/>
        <v>2.0297848456790066</v>
      </c>
      <c r="AH24" s="23">
        <f t="shared" si="2"/>
        <v>0.88879830246913571</v>
      </c>
      <c r="AI24" s="23">
        <f t="shared" si="3"/>
        <v>1.5068630401234575</v>
      </c>
      <c r="AJ24" s="30">
        <f t="shared" si="4"/>
        <v>1.8865934104938229</v>
      </c>
      <c r="AK24" s="30">
        <f t="shared" si="5"/>
        <v>1.4410541358024667</v>
      </c>
    </row>
    <row r="25" spans="1:37" x14ac:dyDescent="0.2">
      <c r="A25" s="21">
        <v>37239</v>
      </c>
      <c r="B25" s="22">
        <f>('BFI Scores'!G25-'BFI Scores'!B25)^2</f>
        <v>0.25502499999999989</v>
      </c>
      <c r="C25" s="22">
        <f>('BFI Scores'!H25-'BFI Scores'!C25)^2</f>
        <v>1.259382716049318E-2</v>
      </c>
      <c r="D25" s="22">
        <f>('BFI Scores'!I25-'BFI Scores'!D25)^2</f>
        <v>0.88569012345678788</v>
      </c>
      <c r="E25" s="22">
        <f>('BFI Scores'!J25-'BFI Scores'!E25)^2</f>
        <v>9.0250000000000365E-3</v>
      </c>
      <c r="F25" s="22">
        <f>('BFI Scores'!K25-'BFI Scores'!F25)^2</f>
        <v>0.47610000000000052</v>
      </c>
      <c r="G25" s="22">
        <f>('BFI Scores'!L25-'BFI Scores'!B25)^2</f>
        <v>0.49702500000000011</v>
      </c>
      <c r="H25" s="22">
        <f>('BFI Scores'!M25-'BFI Scores'!C25)^2</f>
        <v>1.000000000000135E-4</v>
      </c>
      <c r="I25" s="22">
        <f>('BFI Scores'!N25-'BFI Scores'!D25)^2</f>
        <v>1.681344444444453</v>
      </c>
      <c r="J25" s="22">
        <f>('BFI Scores'!O25-'BFI Scores'!E25)^2</f>
        <v>0.40005625000000034</v>
      </c>
      <c r="K25" s="22">
        <f>('BFI Scores'!P25-'BFI Scores'!F25)^2</f>
        <v>0.27040000000000003</v>
      </c>
      <c r="L25" s="22">
        <f>('BFI Scores'!Q25-'BFI Scores'!B25)^2</f>
        <v>4.2025000000000028E-2</v>
      </c>
      <c r="M25" s="22">
        <f>('BFI Scores'!R25-'BFI Scores'!C25)^2</f>
        <v>0.79209999999999947</v>
      </c>
      <c r="N25" s="22">
        <f>('BFI Scores'!S25-'BFI Scores'!D25)^2</f>
        <v>1.7689000000000001</v>
      </c>
      <c r="O25" s="22">
        <f>('BFI Scores'!T25-'BFI Scores'!E25)^2</f>
        <v>0.31080625000000012</v>
      </c>
      <c r="P25" s="22">
        <f>('BFI Scores'!U25-'BFI Scores'!F25)^2</f>
        <v>0.82810000000000028</v>
      </c>
      <c r="Q25" s="22">
        <f>('BFI Scores'!V25-'BFI Scores'!B25)^2</f>
        <v>0.14439999999999992</v>
      </c>
      <c r="R25" s="22">
        <f>('BFI Scores'!W25-'BFI Scores'!C25)^2</f>
        <v>0.81200123456789897</v>
      </c>
      <c r="S25" s="22">
        <f>('BFI Scores'!X25-'BFI Scores'!D25)^2</f>
        <v>4.2573444444444721</v>
      </c>
      <c r="T25" s="22">
        <f>('BFI Scores'!Y25-'BFI Scores'!E25)^2</f>
        <v>3.2220249999999999</v>
      </c>
      <c r="U25" s="22">
        <f>('BFI Scores'!Z25-'BFI Scores'!F25)^2</f>
        <v>1.2100000000000071E-2</v>
      </c>
      <c r="V25" s="29">
        <f>('BFI Scores'!AA25-'BFI Scores'!B25)^2</f>
        <v>0.10240000000000019</v>
      </c>
      <c r="W25" s="29">
        <f>('BFI Scores'!AB25-'BFI Scores'!C25)^2</f>
        <v>2.0753086419757149E-3</v>
      </c>
      <c r="X25" s="29">
        <f>('BFI Scores'!AC25-'BFI Scores'!D25)^2</f>
        <v>1.8890975308641851</v>
      </c>
      <c r="Y25" s="29">
        <f>('BFI Scores'!AD25-'BFI Scores'!E25)^2</f>
        <v>9.0250000000000365E-3</v>
      </c>
      <c r="Z25" s="29">
        <f>('BFI Scores'!AE25-'BFI Scores'!F25)^2</f>
        <v>0.3600000000000001</v>
      </c>
      <c r="AA25" s="29">
        <f>('BFI Scores'!AF25-'BFI Scores'!B25)^2</f>
        <v>6.5024999999999944E-2</v>
      </c>
      <c r="AB25" s="29">
        <f>('BFI Scores'!AG25-'BFI Scores'!C25)^2</f>
        <v>1.2345679012310064E-6</v>
      </c>
      <c r="AC25" s="29">
        <f>('BFI Scores'!AH25-'BFI Scores'!D25)^2</f>
        <v>3.5553197530864362</v>
      </c>
      <c r="AD25" s="29">
        <f>('BFI Scores'!AI25-'BFI Scores'!E25)^2</f>
        <v>0.35402500000000026</v>
      </c>
      <c r="AE25" s="29">
        <f>('BFI Scores'!AJ25-'BFI Scores'!F25)^2</f>
        <v>0.29160000000000003</v>
      </c>
      <c r="AF25" s="23">
        <f t="shared" si="0"/>
        <v>0.32768679012345625</v>
      </c>
      <c r="AG25" s="23">
        <f t="shared" si="1"/>
        <v>0.56978513888889071</v>
      </c>
      <c r="AH25" s="23">
        <f t="shared" si="2"/>
        <v>0.74838625000000003</v>
      </c>
      <c r="AI25" s="23">
        <f t="shared" si="3"/>
        <v>1.6895741358024743</v>
      </c>
      <c r="AJ25" s="30">
        <f t="shared" si="4"/>
        <v>0.47251956790123212</v>
      </c>
      <c r="AK25" s="30">
        <f t="shared" si="5"/>
        <v>0.85319419753086745</v>
      </c>
    </row>
    <row r="26" spans="1:37" x14ac:dyDescent="0.2">
      <c r="A26" s="21">
        <v>37559</v>
      </c>
      <c r="B26" s="22">
        <f>('BFI Scores'!G26-'BFI Scores'!B26)^2</f>
        <v>0.80999999999999983</v>
      </c>
      <c r="C26" s="22">
        <f>('BFI Scores'!H26-'BFI Scores'!C26)^2</f>
        <v>0.14020864197530525</v>
      </c>
      <c r="D26" s="22">
        <f>('BFI Scores'!I26-'BFI Scores'!D26)^2</f>
        <v>1.2345679012343617E-4</v>
      </c>
      <c r="E26" s="22">
        <f>('BFI Scores'!J26-'BFI Scores'!E26)^2</f>
        <v>0.31080625000000012</v>
      </c>
      <c r="F26" s="22">
        <f>('BFI Scores'!K26-'BFI Scores'!F26)^2</f>
        <v>0.1295999999999996</v>
      </c>
      <c r="G26" s="22">
        <f>('BFI Scores'!L26-'BFI Scores'!B26)^2</f>
        <v>0.66015625</v>
      </c>
      <c r="H26" s="22">
        <f>('BFI Scores'!M26-'BFI Scores'!C26)^2</f>
        <v>0.16267777777778314</v>
      </c>
      <c r="I26" s="22">
        <f>('BFI Scores'!N26-'BFI Scores'!D26)^2</f>
        <v>0.21777777777778121</v>
      </c>
      <c r="J26" s="22">
        <f>('BFI Scores'!O26-'BFI Scores'!E26)^2</f>
        <v>2.4999999999998934E-5</v>
      </c>
      <c r="K26" s="22">
        <f>('BFI Scores'!P26-'BFI Scores'!F26)^2</f>
        <v>0.24999999999999956</v>
      </c>
      <c r="L26" s="22">
        <f>('BFI Scores'!Q26-'BFI Scores'!B26)^2</f>
        <v>0.52562500000000012</v>
      </c>
      <c r="M26" s="22">
        <f>('BFI Scores'!R26-'BFI Scores'!C26)^2</f>
        <v>8.1541975308638812E-2</v>
      </c>
      <c r="N26" s="22">
        <f>('BFI Scores'!S26-'BFI Scores'!D26)^2</f>
        <v>0.83012345679012156</v>
      </c>
      <c r="O26" s="22">
        <f>('BFI Scores'!T26-'BFI Scores'!E26)^2</f>
        <v>2.1978062499999997</v>
      </c>
      <c r="P26" s="22">
        <f>('BFI Scores'!U26-'BFI Scores'!F26)^2</f>
        <v>0.21159999999999957</v>
      </c>
      <c r="Q26" s="22">
        <f>('BFI Scores'!V26-'BFI Scores'!B26)^2</f>
        <v>9.765625E-2</v>
      </c>
      <c r="R26" s="22">
        <f>('BFI Scores'!W26-'BFI Scores'!C26)^2</f>
        <v>1.038134567901237</v>
      </c>
      <c r="S26" s="22">
        <f>('BFI Scores'!X26-'BFI Scores'!D26)^2</f>
        <v>8.99999999999999E-2</v>
      </c>
      <c r="T26" s="22">
        <f>('BFI Scores'!Y26-'BFI Scores'!E26)^2</f>
        <v>2.2725562500000009</v>
      </c>
      <c r="U26" s="22">
        <f>('BFI Scores'!Z26-'BFI Scores'!F26)^2</f>
        <v>0.84639999999999904</v>
      </c>
      <c r="V26" s="29">
        <f>('BFI Scores'!AA26-'BFI Scores'!B26)^2</f>
        <v>0.63999999999999968</v>
      </c>
      <c r="W26" s="29">
        <f>('BFI Scores'!AB26-'BFI Scores'!C26)^2</f>
        <v>0.19457901234567795</v>
      </c>
      <c r="X26" s="29">
        <f>('BFI Scores'!AC26-'BFI Scores'!D26)^2</f>
        <v>0.40111111111110714</v>
      </c>
      <c r="Y26" s="29">
        <f>('BFI Scores'!AD26-'BFI Scores'!E26)^2</f>
        <v>0.35402500000000026</v>
      </c>
      <c r="Z26" s="29">
        <f>('BFI Scores'!AE26-'BFI Scores'!F26)^2</f>
        <v>0.15209999999999976</v>
      </c>
      <c r="AA26" s="29">
        <f>('BFI Scores'!AF26-'BFI Scores'!B26)^2</f>
        <v>0.43890624999999955</v>
      </c>
      <c r="AB26" s="29">
        <f>('BFI Scores'!AG26-'BFI Scores'!C26)^2</f>
        <v>0.11635679012345621</v>
      </c>
      <c r="AC26" s="29">
        <f>('BFI Scores'!AH26-'BFI Scores'!D26)^2</f>
        <v>6.5308641975305906E-2</v>
      </c>
      <c r="AD26" s="29">
        <f>('BFI Scores'!AI26-'BFI Scores'!E26)^2</f>
        <v>1.1024999999999997E-2</v>
      </c>
      <c r="AE26" s="29">
        <f>('BFI Scores'!AJ26-'BFI Scores'!F26)^2</f>
        <v>0.24009999999999979</v>
      </c>
      <c r="AF26" s="23">
        <f t="shared" si="0"/>
        <v>0.27814766975308569</v>
      </c>
      <c r="AG26" s="23">
        <f t="shared" si="1"/>
        <v>0.25812736111111279</v>
      </c>
      <c r="AH26" s="23">
        <f t="shared" si="2"/>
        <v>0.76933933641975205</v>
      </c>
      <c r="AI26" s="23">
        <f t="shared" si="3"/>
        <v>0.86894941358024735</v>
      </c>
      <c r="AJ26" s="30">
        <f t="shared" si="4"/>
        <v>0.34836302469135694</v>
      </c>
      <c r="AK26" s="30">
        <f t="shared" si="5"/>
        <v>0.17433933641975227</v>
      </c>
    </row>
    <row r="27" spans="1:37" x14ac:dyDescent="0.2">
      <c r="A27" s="21">
        <v>37703</v>
      </c>
      <c r="B27" s="22">
        <f>('BFI Scores'!G27-'BFI Scores'!B27)^2</f>
        <v>1.0404</v>
      </c>
      <c r="C27" s="22">
        <f>('BFI Scores'!H27-'BFI Scores'!C27)^2</f>
        <v>0.57422716049383038</v>
      </c>
      <c r="D27" s="22">
        <f>('BFI Scores'!I27-'BFI Scores'!D27)^2</f>
        <v>0.45337777777777299</v>
      </c>
      <c r="E27" s="22">
        <f>('BFI Scores'!J27-'BFI Scores'!E27)^2</f>
        <v>0.30802499999999994</v>
      </c>
      <c r="F27" s="22">
        <f>('BFI Scores'!K27-'BFI Scores'!F27)^2</f>
        <v>3.2399999999999901E-2</v>
      </c>
      <c r="G27" s="22">
        <f>('BFI Scores'!L27-'BFI Scores'!B27)^2</f>
        <v>0.44889999999999991</v>
      </c>
      <c r="H27" s="22">
        <f>('BFI Scores'!M27-'BFI Scores'!C27)^2</f>
        <v>0.5088444444444401</v>
      </c>
      <c r="I27" s="22">
        <f>('BFI Scores'!N27-'BFI Scores'!D27)^2</f>
        <v>1.1283160493827114</v>
      </c>
      <c r="J27" s="22">
        <f>('BFI Scores'!O27-'BFI Scores'!E27)^2</f>
        <v>1.08680625</v>
      </c>
      <c r="K27" s="22">
        <f>('BFI Scores'!P27-'BFI Scores'!F27)^2</f>
        <v>0.73959999999999981</v>
      </c>
      <c r="L27" s="22">
        <f>('BFI Scores'!Q27-'BFI Scores'!B27)^2</f>
        <v>2.6244000000000005</v>
      </c>
      <c r="M27" s="22">
        <f>('BFI Scores'!R27-'BFI Scores'!C27)^2</f>
        <v>0.47763456790123288</v>
      </c>
      <c r="N27" s="22">
        <f>('BFI Scores'!S27-'BFI Scores'!D27)^2</f>
        <v>0.14779753086419423</v>
      </c>
      <c r="O27" s="22">
        <f>('BFI Scores'!T27-'BFI Scores'!E27)^2</f>
        <v>0.62805624999999998</v>
      </c>
      <c r="P27" s="22">
        <f>('BFI Scores'!U27-'BFI Scores'!F27)^2</f>
        <v>7.8399999999999886E-2</v>
      </c>
      <c r="Q27" s="22">
        <f>('BFI Scores'!V27-'BFI Scores'!B27)^2</f>
        <v>2.3485562499999992</v>
      </c>
      <c r="R27" s="22">
        <f>('BFI Scores'!W27-'BFI Scores'!C27)^2</f>
        <v>1.1856790123457016E-2</v>
      </c>
      <c r="S27" s="22">
        <f>('BFI Scores'!X27-'BFI Scores'!D27)^2</f>
        <v>0.49624197530863567</v>
      </c>
      <c r="T27" s="22">
        <f>('BFI Scores'!Y27-'BFI Scores'!E27)^2</f>
        <v>0.29430624999999999</v>
      </c>
      <c r="U27" s="22">
        <f>('BFI Scores'!Z27-'BFI Scores'!F27)^2</f>
        <v>1.7160999999999995</v>
      </c>
      <c r="V27" s="29">
        <f>('BFI Scores'!AA27-'BFI Scores'!B27)^2</f>
        <v>1.5500250000000002</v>
      </c>
      <c r="W27" s="29">
        <f>('BFI Scores'!AB27-'BFI Scores'!C27)^2</f>
        <v>0.21985679012345807</v>
      </c>
      <c r="X27" s="29">
        <f>('BFI Scores'!AC27-'BFI Scores'!D27)^2</f>
        <v>0.38164938271605181</v>
      </c>
      <c r="Y27" s="29">
        <f>('BFI Scores'!AD27-'BFI Scores'!E27)^2</f>
        <v>0.18489999999999995</v>
      </c>
      <c r="Z27" s="29">
        <f>('BFI Scores'!AE27-'BFI Scores'!F27)^2</f>
        <v>8.99999999999999E-2</v>
      </c>
      <c r="AA27" s="29">
        <f>('BFI Scores'!AF27-'BFI Scores'!B27)^2</f>
        <v>1.1718062499999999</v>
      </c>
      <c r="AB27" s="29">
        <f>('BFI Scores'!AG27-'BFI Scores'!C27)^2</f>
        <v>2.8523456790123976E-2</v>
      </c>
      <c r="AC27" s="29">
        <f>('BFI Scores'!AH27-'BFI Scores'!D27)^2</f>
        <v>2.6123456790122092E-3</v>
      </c>
      <c r="AD27" s="29">
        <f>('BFI Scores'!AI27-'BFI Scores'!E27)^2</f>
        <v>0.21855624999999981</v>
      </c>
      <c r="AE27" s="29">
        <f>('BFI Scores'!AJ27-'BFI Scores'!F27)^2</f>
        <v>0.90249999999999952</v>
      </c>
      <c r="AF27" s="23">
        <f t="shared" si="0"/>
        <v>0.48168598765432058</v>
      </c>
      <c r="AG27" s="23">
        <f t="shared" si="1"/>
        <v>0.7824933487654302</v>
      </c>
      <c r="AH27" s="23">
        <f t="shared" si="2"/>
        <v>0.79125766975308554</v>
      </c>
      <c r="AI27" s="23">
        <f t="shared" si="3"/>
        <v>0.97341225308641843</v>
      </c>
      <c r="AJ27" s="30">
        <f t="shared" si="4"/>
        <v>0.48528623456790199</v>
      </c>
      <c r="AK27" s="30">
        <f t="shared" si="5"/>
        <v>0.46479966049382709</v>
      </c>
    </row>
    <row r="28" spans="1:37" x14ac:dyDescent="0.2">
      <c r="A28" s="21">
        <v>38794</v>
      </c>
      <c r="B28" s="22">
        <f>('BFI Scores'!G28-'BFI Scores'!B28)^2</f>
        <v>0.92640624999999988</v>
      </c>
      <c r="C28" s="22">
        <f>('BFI Scores'!H28-'BFI Scores'!C28)^2</f>
        <v>0.87318641975307809</v>
      </c>
      <c r="D28" s="22">
        <f>('BFI Scores'!I28-'BFI Scores'!D28)^2</f>
        <v>0.2401000000000002</v>
      </c>
      <c r="E28" s="22">
        <f>('BFI Scores'!J28-'BFI Scores'!E28)^2</f>
        <v>2.7390249999999994</v>
      </c>
      <c r="F28" s="22">
        <f>('BFI Scores'!K28-'BFI Scores'!F28)^2</f>
        <v>2.6244000000000005</v>
      </c>
      <c r="G28" s="22">
        <f>('BFI Scores'!L28-'BFI Scores'!B28)^2</f>
        <v>7.6562499999999842E-3</v>
      </c>
      <c r="H28" s="22">
        <f>('BFI Scores'!M28-'BFI Scores'!C28)^2</f>
        <v>0.98009999999999953</v>
      </c>
      <c r="I28" s="22">
        <f>('BFI Scores'!N28-'BFI Scores'!D28)^2</f>
        <v>5.9211111111109521E-2</v>
      </c>
      <c r="J28" s="22">
        <f>('BFI Scores'!O28-'BFI Scores'!E28)^2</f>
        <v>1.7688999999999997</v>
      </c>
      <c r="K28" s="22">
        <f>('BFI Scores'!P28-'BFI Scores'!F28)^2</f>
        <v>0.96039999999999992</v>
      </c>
      <c r="L28" s="22">
        <f>('BFI Scores'!Q28-'BFI Scores'!B28)^2</f>
        <v>5.6250000000000267E-3</v>
      </c>
      <c r="M28" s="22">
        <f>('BFI Scores'!R28-'BFI Scores'!C28)^2</f>
        <v>0.91521111111111775</v>
      </c>
      <c r="N28" s="22">
        <f>('BFI Scores'!S28-'BFI Scores'!D28)^2</f>
        <v>1.4694827160493782</v>
      </c>
      <c r="O28" s="22">
        <f>('BFI Scores'!T28-'BFI Scores'!E28)^2</f>
        <v>1.7688999999999997</v>
      </c>
      <c r="P28" s="22">
        <f>('BFI Scores'!U28-'BFI Scores'!F28)^2</f>
        <v>3.4225000000000003</v>
      </c>
      <c r="Q28" s="22">
        <f>('BFI Scores'!V28-'BFI Scores'!B28)^2</f>
        <v>1.2656249999999959E-2</v>
      </c>
      <c r="R28" s="22">
        <f>('BFI Scores'!W28-'BFI Scores'!C28)^2</f>
        <v>2.0258777777777679</v>
      </c>
      <c r="S28" s="22">
        <f>('BFI Scores'!X28-'BFI Scores'!D28)^2</f>
        <v>3.6099999999999979E-2</v>
      </c>
      <c r="T28" s="22">
        <f>('BFI Scores'!Y28-'BFI Scores'!E28)^2</f>
        <v>1.5128999999999999</v>
      </c>
      <c r="U28" s="22">
        <f>('BFI Scores'!Z28-'BFI Scores'!F28)^2</f>
        <v>2.25</v>
      </c>
      <c r="V28" s="29">
        <f>('BFI Scores'!AA28-'BFI Scores'!B28)^2</f>
        <v>1.5625E-2</v>
      </c>
      <c r="W28" s="29">
        <f>('BFI Scores'!AB28-'BFI Scores'!C28)^2</f>
        <v>1.0700753086419672</v>
      </c>
      <c r="X28" s="29">
        <f>('BFI Scores'!AC28-'BFI Scores'!D28)^2</f>
        <v>0.60666790123457004</v>
      </c>
      <c r="Y28" s="29">
        <f>('BFI Scores'!AD28-'BFI Scores'!E28)^2</f>
        <v>2.1535562499999994</v>
      </c>
      <c r="Z28" s="29">
        <f>('BFI Scores'!AE28-'BFI Scores'!F28)^2</f>
        <v>2.4025000000000007</v>
      </c>
      <c r="AA28" s="29">
        <f>('BFI Scores'!AF28-'BFI Scores'!B28)^2</f>
        <v>1.2656249999999959E-2</v>
      </c>
      <c r="AB28" s="29">
        <f>('BFI Scores'!AG28-'BFI Scores'!C28)^2</f>
        <v>0.77244567901234751</v>
      </c>
      <c r="AC28" s="29">
        <f>('BFI Scores'!AH28-'BFI Scores'!D28)^2</f>
        <v>5.877777777778254E-3</v>
      </c>
      <c r="AD28" s="29">
        <f>('BFI Scores'!AI28-'BFI Scores'!E28)^2</f>
        <v>1.5750249999999997</v>
      </c>
      <c r="AE28" s="29">
        <f>('BFI Scores'!AJ28-'BFI Scores'!F28)^2</f>
        <v>1.3924000000000003</v>
      </c>
      <c r="AF28" s="23">
        <f t="shared" si="0"/>
        <v>1.4806235339506157</v>
      </c>
      <c r="AG28" s="23">
        <f t="shared" si="1"/>
        <v>0.75525347222222172</v>
      </c>
      <c r="AH28" s="23">
        <f t="shared" si="2"/>
        <v>1.5163437654320993</v>
      </c>
      <c r="AI28" s="23">
        <f t="shared" si="3"/>
        <v>1.1675068055555535</v>
      </c>
      <c r="AJ28" s="30">
        <f t="shared" si="4"/>
        <v>1.2496848919753074</v>
      </c>
      <c r="AK28" s="30">
        <f t="shared" si="5"/>
        <v>0.7516809413580251</v>
      </c>
    </row>
    <row r="29" spans="1:37" x14ac:dyDescent="0.2">
      <c r="A29" s="21">
        <v>38957</v>
      </c>
      <c r="B29" s="22">
        <f>('BFI Scores'!G29-'BFI Scores'!B29)^2</f>
        <v>0.10562500000000012</v>
      </c>
      <c r="C29" s="22">
        <f>('BFI Scores'!H29-'BFI Scores'!C29)^2</f>
        <v>1.4400000000000026E-2</v>
      </c>
      <c r="D29" s="22">
        <f>('BFI Scores'!I29-'BFI Scores'!D29)^2</f>
        <v>2.256671604938266</v>
      </c>
      <c r="E29" s="22">
        <f>('BFI Scores'!J29-'BFI Scores'!E29)^2</f>
        <v>6.8062500000000033E-3</v>
      </c>
      <c r="F29" s="22">
        <f>('BFI Scores'!K29-'BFI Scores'!F29)^2</f>
        <v>4.8399999999999888E-2</v>
      </c>
      <c r="G29" s="22">
        <f>('BFI Scores'!L29-'BFI Scores'!B29)^2</f>
        <v>0.5625</v>
      </c>
      <c r="H29" s="22">
        <f>('BFI Scores'!M29-'BFI Scores'!C29)^2</f>
        <v>8.4745679012345282E-2</v>
      </c>
      <c r="I29" s="22">
        <f>('BFI Scores'!N29-'BFI Scores'!D29)^2</f>
        <v>1.0723753086419647</v>
      </c>
      <c r="J29" s="22">
        <f>('BFI Scores'!O29-'BFI Scores'!E29)^2</f>
        <v>5.4405562500000002</v>
      </c>
      <c r="K29" s="22">
        <f>('BFI Scores'!P29-'BFI Scores'!F29)^2</f>
        <v>0.50409999999999999</v>
      </c>
      <c r="L29" s="22">
        <f>('BFI Scores'!Q29-'BFI Scores'!B29)^2</f>
        <v>0.12249999999999975</v>
      </c>
      <c r="M29" s="22">
        <f>('BFI Scores'!R29-'BFI Scores'!C29)^2</f>
        <v>4.363456790123485E-2</v>
      </c>
      <c r="N29" s="22">
        <f>('BFI Scores'!S29-'BFI Scores'!D29)^2</f>
        <v>2.8975604938271533</v>
      </c>
      <c r="O29" s="22">
        <f>('BFI Scores'!T29-'BFI Scores'!E29)^2</f>
        <v>0.19802500000000006</v>
      </c>
      <c r="P29" s="22">
        <f>('BFI Scores'!U29-'BFI Scores'!F29)^2</f>
        <v>9.9999999999995736E-5</v>
      </c>
      <c r="Q29" s="22">
        <f>('BFI Scores'!V29-'BFI Scores'!B29)^2</f>
        <v>1.7889062499999997</v>
      </c>
      <c r="R29" s="22">
        <f>('BFI Scores'!W29-'BFI Scores'!C29)^2</f>
        <v>0.43267160493827483</v>
      </c>
      <c r="S29" s="22">
        <f>('BFI Scores'!X29-'BFI Scores'!D29)^2</f>
        <v>2.6750419753086576</v>
      </c>
      <c r="T29" s="22">
        <f>('BFI Scores'!Y29-'BFI Scores'!E29)^2</f>
        <v>8.0940249999999985</v>
      </c>
      <c r="U29" s="22">
        <f>('BFI Scores'!Z29-'BFI Scores'!F29)^2</f>
        <v>1.7689000000000001</v>
      </c>
      <c r="V29" s="29">
        <f>('BFI Scores'!AA29-'BFI Scores'!B29)^2</f>
        <v>2.4999999999999823E-3</v>
      </c>
      <c r="W29" s="29">
        <f>('BFI Scores'!AB29-'BFI Scores'!C29)^2</f>
        <v>1.7190123456789674E-2</v>
      </c>
      <c r="X29" s="29">
        <f>('BFI Scores'!AC29-'BFI Scores'!D29)^2</f>
        <v>2.7851901234567951</v>
      </c>
      <c r="Y29" s="29">
        <f>('BFI Scores'!AD29-'BFI Scores'!E29)^2</f>
        <v>2.8900000000000051E-2</v>
      </c>
      <c r="Z29" s="29">
        <f>('BFI Scores'!AE29-'BFI Scores'!F29)^2</f>
        <v>0.1155999999999999</v>
      </c>
      <c r="AA29" s="29">
        <f>('BFI Scores'!AF29-'BFI Scores'!B29)^2</f>
        <v>0.390625</v>
      </c>
      <c r="AB29" s="29">
        <f>('BFI Scores'!AG29-'BFI Scores'!C29)^2</f>
        <v>7.8400000000000136E-2</v>
      </c>
      <c r="AC29" s="29">
        <f>('BFI Scores'!AH29-'BFI Scores'!D29)^2</f>
        <v>3.1289679012345721</v>
      </c>
      <c r="AD29" s="29">
        <f>('BFI Scores'!AI29-'BFI Scores'!E29)^2</f>
        <v>8.5995562500000009</v>
      </c>
      <c r="AE29" s="29">
        <f>('BFI Scores'!AJ29-'BFI Scores'!F29)^2</f>
        <v>0.67240000000000044</v>
      </c>
      <c r="AF29" s="23">
        <f t="shared" si="0"/>
        <v>0.48638057098765319</v>
      </c>
      <c r="AG29" s="23">
        <f t="shared" si="1"/>
        <v>1.5328554475308622</v>
      </c>
      <c r="AH29" s="23">
        <f t="shared" si="2"/>
        <v>0.65236401234567754</v>
      </c>
      <c r="AI29" s="23">
        <f t="shared" si="3"/>
        <v>2.9519089660493862</v>
      </c>
      <c r="AJ29" s="30">
        <f t="shared" si="4"/>
        <v>0.58987604938271687</v>
      </c>
      <c r="AK29" s="30">
        <f t="shared" si="5"/>
        <v>2.5739898302469149</v>
      </c>
    </row>
    <row r="30" spans="1:37" x14ac:dyDescent="0.2">
      <c r="A30" s="21">
        <v>39320</v>
      </c>
      <c r="B30" s="22">
        <f>('BFI Scores'!G30-'BFI Scores'!B30)^2</f>
        <v>1.221025</v>
      </c>
      <c r="C30" s="22">
        <f>('BFI Scores'!H30-'BFI Scores'!C30)^2</f>
        <v>2.3853086419751764E-2</v>
      </c>
      <c r="D30" s="22">
        <f>('BFI Scores'!I30-'BFI Scores'!D30)^2</f>
        <v>7.6544444444446511E-2</v>
      </c>
      <c r="E30" s="22">
        <f>('BFI Scores'!J30-'BFI Scores'!E30)^2</f>
        <v>4.3056250000000004E-2</v>
      </c>
      <c r="F30" s="22">
        <f>('BFI Scores'!K30-'BFI Scores'!F30)^2</f>
        <v>1.1881000000000006</v>
      </c>
      <c r="G30" s="22">
        <f>('BFI Scores'!L30-'BFI Scores'!B30)^2</f>
        <v>1.7030249999999993</v>
      </c>
      <c r="H30" s="22">
        <f>('BFI Scores'!M30-'BFI Scores'!C30)^2</f>
        <v>2.0544444444443612E-2</v>
      </c>
      <c r="I30" s="22">
        <f>('BFI Scores'!N30-'BFI Scores'!D30)^2</f>
        <v>1.687112345679016</v>
      </c>
      <c r="J30" s="22">
        <f>('BFI Scores'!O30-'BFI Scores'!E30)^2</f>
        <v>0.28355625000000023</v>
      </c>
      <c r="K30" s="22">
        <f>('BFI Scores'!P30-'BFI Scores'!F30)^2</f>
        <v>0.4624000000000002</v>
      </c>
      <c r="L30" s="22">
        <f>('BFI Scores'!Q30-'BFI Scores'!B30)^2</f>
        <v>3.3306250000000037E-2</v>
      </c>
      <c r="M30" s="22">
        <f>('BFI Scores'!R30-'BFI Scores'!C30)^2</f>
        <v>1.022345679012324E-2</v>
      </c>
      <c r="N30" s="22">
        <f>('BFI Scores'!S30-'BFI Scores'!D30)^2</f>
        <v>1.0201000000000005</v>
      </c>
      <c r="O30" s="22">
        <f>('BFI Scores'!T30-'BFI Scores'!E30)^2</f>
        <v>7.2900000000000006E-2</v>
      </c>
      <c r="P30" s="22">
        <f>('BFI Scores'!U30-'BFI Scores'!F30)^2</f>
        <v>0.28090000000000026</v>
      </c>
      <c r="Q30" s="22">
        <f>('BFI Scores'!V30-'BFI Scores'!B30)^2</f>
        <v>2.3408999999999995</v>
      </c>
      <c r="R30" s="22">
        <f>('BFI Scores'!W30-'BFI Scores'!C30)^2</f>
        <v>0.1272111111111135</v>
      </c>
      <c r="S30" s="22">
        <f>('BFI Scores'!X30-'BFI Scores'!D30)^2</f>
        <v>1.6298777777777873</v>
      </c>
      <c r="T30" s="22">
        <f>('BFI Scores'!Y30-'BFI Scores'!E30)^2</f>
        <v>9.2720249999999993</v>
      </c>
      <c r="U30" s="22">
        <f>('BFI Scores'!Z30-'BFI Scores'!F30)^2</f>
        <v>9.9999999999999291E-3</v>
      </c>
      <c r="V30" s="29">
        <f>('BFI Scores'!AA30-'BFI Scores'!B30)^2</f>
        <v>0.16402499999999984</v>
      </c>
      <c r="W30" s="29">
        <f>('BFI Scores'!AB30-'BFI Scores'!C30)^2</f>
        <v>3.1211111111112397E-2</v>
      </c>
      <c r="X30" s="29">
        <f>('BFI Scores'!AC30-'BFI Scores'!D30)^2</f>
        <v>0.65610000000000079</v>
      </c>
      <c r="Y30" s="29">
        <f>('BFI Scores'!AD30-'BFI Scores'!E30)^2</f>
        <v>7.2900000000000006E-2</v>
      </c>
      <c r="Z30" s="29">
        <f>('BFI Scores'!AE30-'BFI Scores'!F30)^2</f>
        <v>1.0201000000000005</v>
      </c>
      <c r="AA30" s="29">
        <f>('BFI Scores'!AF30-'BFI Scores'!B30)^2</f>
        <v>0.38130624999999962</v>
      </c>
      <c r="AB30" s="29">
        <f>('BFI Scores'!AG30-'BFI Scores'!C30)^2</f>
        <v>1.8777777777775181E-3</v>
      </c>
      <c r="AC30" s="29">
        <f>('BFI Scores'!AH30-'BFI Scores'!D30)^2</f>
        <v>0.97570493827160998</v>
      </c>
      <c r="AD30" s="29">
        <f>('BFI Scores'!AI30-'BFI Scores'!E30)^2</f>
        <v>2.0880250000000009</v>
      </c>
      <c r="AE30" s="29">
        <f>('BFI Scores'!AJ30-'BFI Scores'!F30)^2</f>
        <v>2.5000000000000265E-3</v>
      </c>
      <c r="AF30" s="23">
        <f t="shared" si="0"/>
        <v>0.51051575617283973</v>
      </c>
      <c r="AG30" s="23">
        <f t="shared" si="1"/>
        <v>0.83132760802469186</v>
      </c>
      <c r="AH30" s="23">
        <f t="shared" si="2"/>
        <v>0.2834859413580248</v>
      </c>
      <c r="AI30" s="23">
        <f t="shared" si="3"/>
        <v>2.6760027777777795</v>
      </c>
      <c r="AJ30" s="30">
        <f t="shared" si="4"/>
        <v>0.3888672222222227</v>
      </c>
      <c r="AK30" s="30">
        <f t="shared" si="5"/>
        <v>0.68988279320987755</v>
      </c>
    </row>
    <row r="31" spans="1:37" x14ac:dyDescent="0.2">
      <c r="A31" s="21">
        <v>39756</v>
      </c>
      <c r="B31" s="22">
        <f>('BFI Scores'!G31-'BFI Scores'!B31)^2</f>
        <v>0.15999999999999992</v>
      </c>
      <c r="C31" s="22">
        <f>('BFI Scores'!H31-'BFI Scores'!C31)^2</f>
        <v>0.87318641975307809</v>
      </c>
      <c r="D31" s="22">
        <f>('BFI Scores'!I31-'BFI Scores'!D31)^2</f>
        <v>2.4197530864212004E-4</v>
      </c>
      <c r="E31" s="22">
        <f>('BFI Scores'!J31-'BFI Scores'!E31)^2</f>
        <v>4.7306249999999918E-2</v>
      </c>
      <c r="F31" s="22">
        <f>('BFI Scores'!K31-'BFI Scores'!F31)^2</f>
        <v>1.4400000000000026E-2</v>
      </c>
      <c r="G31" s="22">
        <f>('BFI Scores'!L31-'BFI Scores'!B31)^2</f>
        <v>0.12250000000000007</v>
      </c>
      <c r="H31" s="22">
        <f>('BFI Scores'!M31-'BFI Scores'!C31)^2</f>
        <v>6.5877777777774441E-2</v>
      </c>
      <c r="I31" s="22">
        <f>('BFI Scores'!N31-'BFI Scores'!D31)^2</f>
        <v>4.7427160493828065E-2</v>
      </c>
      <c r="J31" s="22">
        <f>('BFI Scores'!O31-'BFI Scores'!E31)^2</f>
        <v>8.2943999999999996</v>
      </c>
      <c r="K31" s="22">
        <f>('BFI Scores'!P31-'BFI Scores'!F31)^2</f>
        <v>2.464900000000001</v>
      </c>
      <c r="L31" s="22">
        <f>('BFI Scores'!Q31-'BFI Scores'!B31)^2</f>
        <v>1.5625000000000445E-4</v>
      </c>
      <c r="M31" s="22">
        <f>('BFI Scores'!R31-'BFI Scores'!C31)^2</f>
        <v>1.0931864197530743</v>
      </c>
      <c r="N31" s="22">
        <f>('BFI Scores'!S31-'BFI Scores'!D31)^2</f>
        <v>8.7353086419755727E-2</v>
      </c>
      <c r="O31" s="22">
        <f>('BFI Scores'!T31-'BFI Scores'!E31)^2</f>
        <v>2.0306250000000019E-2</v>
      </c>
      <c r="P31" s="22">
        <f>('BFI Scores'!U31-'BFI Scores'!F31)^2</f>
        <v>4.0000000000000072E-4</v>
      </c>
      <c r="Q31" s="22">
        <f>('BFI Scores'!V31-'BFI Scores'!B31)^2</f>
        <v>0.97515624999999961</v>
      </c>
      <c r="R31" s="22">
        <f>('BFI Scores'!W31-'BFI Scores'!C31)^2</f>
        <v>1.0700753086419672</v>
      </c>
      <c r="S31" s="22">
        <f>('BFI Scores'!X31-'BFI Scores'!D31)^2</f>
        <v>0.16537777777778037</v>
      </c>
      <c r="T31" s="22">
        <f>('BFI Scores'!Y31-'BFI Scores'!E31)^2</f>
        <v>5.0288062499999988</v>
      </c>
      <c r="U31" s="22">
        <f>('BFI Scores'!Z31-'BFI Scores'!F31)^2</f>
        <v>0.9025000000000003</v>
      </c>
      <c r="V31" s="29">
        <f>('BFI Scores'!AA31-'BFI Scores'!B31)^2</f>
        <v>6.8906250000000099E-2</v>
      </c>
      <c r="W31" s="29">
        <f>('BFI Scores'!AB31-'BFI Scores'!C31)^2</f>
        <v>0.79210000000000025</v>
      </c>
      <c r="X31" s="29">
        <f>('BFI Scores'!AC31-'BFI Scores'!D31)^2</f>
        <v>0.10098271604938408</v>
      </c>
      <c r="Y31" s="29">
        <f>('BFI Scores'!AD31-'BFI Scores'!E31)^2</f>
        <v>0.57002499999999989</v>
      </c>
      <c r="Z31" s="29">
        <f>('BFI Scores'!AE31-'BFI Scores'!F31)^2</f>
        <v>0.10890000000000005</v>
      </c>
      <c r="AA31" s="29">
        <f>('BFI Scores'!AF31-'BFI Scores'!B31)^2</f>
        <v>0.34515624999999989</v>
      </c>
      <c r="AB31" s="29">
        <f>('BFI Scores'!AG31-'BFI Scores'!C31)^2</f>
        <v>1.8075308641974153E-2</v>
      </c>
      <c r="AC31" s="29">
        <f>('BFI Scores'!AH31-'BFI Scores'!D31)^2</f>
        <v>0.18394567901234643</v>
      </c>
      <c r="AD31" s="29">
        <f>('BFI Scores'!AI31-'BFI Scores'!E31)^2</f>
        <v>5.0288062499999988</v>
      </c>
      <c r="AE31" s="29">
        <f>('BFI Scores'!AJ31-'BFI Scores'!F31)^2</f>
        <v>2.0735999999999999</v>
      </c>
      <c r="AF31" s="23">
        <f t="shared" si="0"/>
        <v>0.21902692901234402</v>
      </c>
      <c r="AG31" s="23">
        <f t="shared" si="1"/>
        <v>2.1990209876543205</v>
      </c>
      <c r="AH31" s="23">
        <f t="shared" si="2"/>
        <v>0.24028040123456601</v>
      </c>
      <c r="AI31" s="23">
        <f t="shared" si="3"/>
        <v>1.6283831172839491</v>
      </c>
      <c r="AJ31" s="30">
        <f t="shared" si="4"/>
        <v>0.32818279320987681</v>
      </c>
      <c r="AK31" s="30">
        <f t="shared" si="5"/>
        <v>1.5299166975308638</v>
      </c>
    </row>
    <row r="32" spans="1:37" x14ac:dyDescent="0.2">
      <c r="A32" s="21">
        <v>40326</v>
      </c>
      <c r="B32" s="22">
        <f>('BFI Scores'!G32-'BFI Scores'!B32)^2</f>
        <v>0.13505624999999979</v>
      </c>
      <c r="C32" s="22">
        <f>('BFI Scores'!H32-'BFI Scores'!C32)^2</f>
        <v>1.344444444443953E-3</v>
      </c>
      <c r="D32" s="22">
        <f>('BFI Scores'!I32-'BFI Scores'!D32)^2</f>
        <v>0.26465308641975904</v>
      </c>
      <c r="E32" s="22">
        <f>('BFI Scores'!J32-'BFI Scores'!E32)^2</f>
        <v>1.9390562499999995</v>
      </c>
      <c r="F32" s="22">
        <f>('BFI Scores'!K32-'BFI Scores'!F32)^2</f>
        <v>0.3248999999999993</v>
      </c>
      <c r="G32" s="22">
        <f>('BFI Scores'!L32-'BFI Scores'!B32)^2</f>
        <v>0.12780624999999995</v>
      </c>
      <c r="H32" s="22">
        <f>('BFI Scores'!M32-'BFI Scores'!C32)^2</f>
        <v>0.12406049382715892</v>
      </c>
      <c r="I32" s="22">
        <f>('BFI Scores'!N32-'BFI Scores'!D32)^2</f>
        <v>0.3249000000000003</v>
      </c>
      <c r="J32" s="22">
        <f>('BFI Scores'!O32-'BFI Scores'!E32)^2</f>
        <v>2.2650249999999996</v>
      </c>
      <c r="K32" s="22">
        <f>('BFI Scores'!P32-'BFI Scores'!F32)^2</f>
        <v>3.9999999999998294E-4</v>
      </c>
      <c r="L32" s="22">
        <f>('BFI Scores'!Q32-'BFI Scores'!B32)^2</f>
        <v>0.29430624999999999</v>
      </c>
      <c r="M32" s="22">
        <f>('BFI Scores'!R32-'BFI Scores'!C32)^2</f>
        <v>0.10169012345679077</v>
      </c>
      <c r="N32" s="22">
        <f>('BFI Scores'!S32-'BFI Scores'!D32)^2</f>
        <v>1.0517641975308523</v>
      </c>
      <c r="O32" s="22">
        <f>('BFI Scores'!T32-'BFI Scores'!E32)^2</f>
        <v>4.2025000000000028E-2</v>
      </c>
      <c r="P32" s="22">
        <f>('BFI Scores'!U32-'BFI Scores'!F32)^2</f>
        <v>0.28089999999999932</v>
      </c>
      <c r="Q32" s="22">
        <f>('BFI Scores'!V32-'BFI Scores'!B32)^2</f>
        <v>0.44555624999999999</v>
      </c>
      <c r="R32" s="22">
        <f>('BFI Scores'!W32-'BFI Scores'!C32)^2</f>
        <v>2.4788753086419617</v>
      </c>
      <c r="S32" s="22">
        <f>('BFI Scores'!X32-'BFI Scores'!D32)^2</f>
        <v>5.776011111111143</v>
      </c>
      <c r="T32" s="22">
        <f>('BFI Scores'!Y32-'BFI Scores'!E32)^2</f>
        <v>2.0306250000000019E-2</v>
      </c>
      <c r="U32" s="22">
        <f>('BFI Scores'!Z32-'BFI Scores'!F32)^2</f>
        <v>0.10890000000000005</v>
      </c>
      <c r="V32" s="29">
        <f>('BFI Scores'!AA32-'BFI Scores'!B32)^2</f>
        <v>2.4806250000000061E-2</v>
      </c>
      <c r="W32" s="29">
        <f>('BFI Scores'!AB32-'BFI Scores'!C32)^2</f>
        <v>1.0677777777777078E-2</v>
      </c>
      <c r="X32" s="29">
        <f>('BFI Scores'!AC32-'BFI Scores'!D32)^2</f>
        <v>0.30006049382716282</v>
      </c>
      <c r="Y32" s="29">
        <f>('BFI Scores'!AD32-'BFI Scores'!E32)^2</f>
        <v>2.0448999999999997</v>
      </c>
      <c r="Z32" s="29">
        <f>('BFI Scores'!AE32-'BFI Scores'!F32)^2</f>
        <v>0.33640000000000009</v>
      </c>
      <c r="AA32" s="29">
        <f>('BFI Scores'!AF32-'BFI Scores'!B32)^2</f>
        <v>0.18705625000000009</v>
      </c>
      <c r="AB32" s="29">
        <f>('BFI Scores'!AG32-'BFI Scores'!C32)^2</f>
        <v>0.44001111111110669</v>
      </c>
      <c r="AC32" s="29">
        <f>('BFI Scores'!AH32-'BFI Scores'!D32)^2</f>
        <v>2.2267271604938208</v>
      </c>
      <c r="AD32" s="29">
        <f>('BFI Scores'!AI32-'BFI Scores'!E32)^2</f>
        <v>2.1170249999999995</v>
      </c>
      <c r="AE32" s="29">
        <f>('BFI Scores'!AJ32-'BFI Scores'!F32)^2</f>
        <v>8.4100000000000022E-2</v>
      </c>
      <c r="AF32" s="23">
        <f t="shared" si="0"/>
        <v>0.53300200617284033</v>
      </c>
      <c r="AG32" s="23">
        <f t="shared" si="1"/>
        <v>0.56843834876543176</v>
      </c>
      <c r="AH32" s="23">
        <f t="shared" si="2"/>
        <v>0.35413711419752847</v>
      </c>
      <c r="AI32" s="23">
        <f t="shared" si="3"/>
        <v>1.7659297839506212</v>
      </c>
      <c r="AJ32" s="30">
        <f t="shared" si="4"/>
        <v>0.54336890432098794</v>
      </c>
      <c r="AK32" s="30">
        <f t="shared" si="5"/>
        <v>1.0109839043209854</v>
      </c>
    </row>
    <row r="33" spans="1:37" x14ac:dyDescent="0.2">
      <c r="A33" s="21">
        <v>40358</v>
      </c>
      <c r="B33" s="22">
        <f>('BFI Scores'!G33-'BFI Scores'!B33)^2</f>
        <v>1.41015625</v>
      </c>
      <c r="C33" s="22">
        <f>('BFI Scores'!H33-'BFI Scores'!C33)^2</f>
        <v>2.3901234567902194E-3</v>
      </c>
      <c r="D33" s="22">
        <f>('BFI Scores'!I33-'BFI Scores'!D33)^2</f>
        <v>1.9290123456790158</v>
      </c>
      <c r="E33" s="22">
        <f>('BFI Scores'!J33-'BFI Scores'!E33)^2</f>
        <v>0.16605625000000016</v>
      </c>
      <c r="F33" s="22">
        <f>('BFI Scores'!K33-'BFI Scores'!F33)^2</f>
        <v>0.44889999999999991</v>
      </c>
      <c r="G33" s="22">
        <f>('BFI Scores'!L33-'BFI Scores'!B33)^2</f>
        <v>0.40640625000000025</v>
      </c>
      <c r="H33" s="22">
        <f>('BFI Scores'!M33-'BFI Scores'!C33)^2</f>
        <v>0.36535308641974762</v>
      </c>
      <c r="I33" s="22">
        <f>('BFI Scores'!N33-'BFI Scores'!D33)^2</f>
        <v>0.87111111111110495</v>
      </c>
      <c r="J33" s="22">
        <f>('BFI Scores'!O33-'BFI Scores'!E33)^2</f>
        <v>1.3806249999999985E-2</v>
      </c>
      <c r="K33" s="22">
        <f>('BFI Scores'!P33-'BFI Scores'!F33)^2</f>
        <v>0.29160000000000003</v>
      </c>
      <c r="L33" s="22">
        <f>('BFI Scores'!Q33-'BFI Scores'!B33)^2</f>
        <v>0.17015625000000006</v>
      </c>
      <c r="M33" s="22">
        <f>('BFI Scores'!R33-'BFI Scores'!C33)^2</f>
        <v>0.22404444444444091</v>
      </c>
      <c r="N33" s="22">
        <f>('BFI Scores'!S33-'BFI Scores'!D33)^2</f>
        <v>1.0449382716049336</v>
      </c>
      <c r="O33" s="22">
        <f>('BFI Scores'!T33-'BFI Scores'!E33)^2</f>
        <v>0.2450250000000001</v>
      </c>
      <c r="P33" s="22">
        <f>('BFI Scores'!U33-'BFI Scores'!F33)^2</f>
        <v>0.53289999999999993</v>
      </c>
      <c r="Q33" s="22">
        <f>('BFI Scores'!V33-'BFI Scores'!B33)^2</f>
        <v>1.6576562500000003</v>
      </c>
      <c r="R33" s="22">
        <f>('BFI Scores'!W33-'BFI Scores'!C33)^2</f>
        <v>7.4711111111109216E-2</v>
      </c>
      <c r="S33" s="22">
        <f>('BFI Scores'!X33-'BFI Scores'!D33)^2</f>
        <v>3.567901234567906</v>
      </c>
      <c r="T33" s="22">
        <f>('BFI Scores'!Y33-'BFI Scores'!E33)^2</f>
        <v>6.413556250000001</v>
      </c>
      <c r="U33" s="22">
        <f>('BFI Scores'!Z33-'BFI Scores'!F33)^2</f>
        <v>7.2900000000000006E-2</v>
      </c>
      <c r="V33" s="29">
        <f>('BFI Scores'!AA33-'BFI Scores'!B33)^2</f>
        <v>0.7014062499999999</v>
      </c>
      <c r="W33" s="29">
        <f>('BFI Scores'!AB33-'BFI Scores'!C33)^2</f>
        <v>7.1308641975318188E-3</v>
      </c>
      <c r="X33" s="29">
        <f>('BFI Scores'!AC33-'BFI Scores'!D33)^2</f>
        <v>2.1511111111111205</v>
      </c>
      <c r="Y33" s="29">
        <f>('BFI Scores'!AD33-'BFI Scores'!E33)^2</f>
        <v>0.2450250000000001</v>
      </c>
      <c r="Z33" s="29">
        <f>('BFI Scores'!AE33-'BFI Scores'!F33)^2</f>
        <v>0.42249999999999988</v>
      </c>
      <c r="AA33" s="29">
        <f>('BFI Scores'!AF33-'BFI Scores'!B33)^2</f>
        <v>0.25</v>
      </c>
      <c r="AB33" s="29">
        <f>('BFI Scores'!AG33-'BFI Scores'!C33)^2</f>
        <v>0.26579753086420232</v>
      </c>
      <c r="AC33" s="29">
        <f>('BFI Scores'!AH33-'BFI Scores'!D33)^2</f>
        <v>2.5600000000000005</v>
      </c>
      <c r="AD33" s="29">
        <f>('BFI Scores'!AI33-'BFI Scores'!E33)^2</f>
        <v>9.4556250000000064E-2</v>
      </c>
      <c r="AE33" s="29">
        <f>('BFI Scores'!AJ33-'BFI Scores'!F33)^2</f>
        <v>0.31359999999999955</v>
      </c>
      <c r="AF33" s="23">
        <f t="shared" si="0"/>
        <v>0.79130299382716118</v>
      </c>
      <c r="AG33" s="23">
        <f t="shared" si="1"/>
        <v>0.38965533950617059</v>
      </c>
      <c r="AH33" s="23">
        <f t="shared" si="2"/>
        <v>0.44341279320987487</v>
      </c>
      <c r="AI33" s="23">
        <f t="shared" si="3"/>
        <v>2.3573449691358035</v>
      </c>
      <c r="AJ33" s="30">
        <f t="shared" si="4"/>
        <v>0.70543464506173037</v>
      </c>
      <c r="AK33" s="30">
        <f t="shared" si="5"/>
        <v>0.69679075617284059</v>
      </c>
    </row>
    <row r="34" spans="1:37" x14ac:dyDescent="0.2">
      <c r="A34" s="21">
        <v>40377</v>
      </c>
      <c r="B34" s="22">
        <f>('BFI Scores'!G34-'BFI Scores'!B34)^2</f>
        <v>9.302499999999983E-2</v>
      </c>
      <c r="C34" s="22">
        <f>('BFI Scores'!H34-'BFI Scores'!C34)^2</f>
        <v>4.0111111111106774E-3</v>
      </c>
      <c r="D34" s="22">
        <f>('BFI Scores'!I34-'BFI Scores'!D34)^2</f>
        <v>6.7604938271601245E-3</v>
      </c>
      <c r="E34" s="22">
        <f>('BFI Scores'!J34-'BFI Scores'!E34)^2</f>
        <v>0.90249999999999997</v>
      </c>
      <c r="F34" s="22">
        <f>('BFI Scores'!K34-'BFI Scores'!F34)^2</f>
        <v>0.86489999999999945</v>
      </c>
      <c r="G34" s="22">
        <f>('BFI Scores'!L34-'BFI Scores'!B34)^2</f>
        <v>0.20702500000000007</v>
      </c>
      <c r="H34" s="22">
        <f>('BFI Scores'!M34-'BFI Scores'!C34)^2</f>
        <v>2.18382716049388E-2</v>
      </c>
      <c r="I34" s="22">
        <f>('BFI Scores'!N34-'BFI Scores'!D34)^2</f>
        <v>0.18394567901234643</v>
      </c>
      <c r="J34" s="22">
        <f>('BFI Scores'!O34-'BFI Scores'!E34)^2</f>
        <v>0.34515624999999989</v>
      </c>
      <c r="K34" s="22">
        <f>('BFI Scores'!P34-'BFI Scores'!F34)^2</f>
        <v>0.65609999999999935</v>
      </c>
      <c r="L34" s="22">
        <f>('BFI Scores'!Q34-'BFI Scores'!B34)^2</f>
        <v>6.4000000000000116E-3</v>
      </c>
      <c r="M34" s="22">
        <f>('BFI Scores'!R34-'BFI Scores'!C34)^2</f>
        <v>6.5790123456787638E-3</v>
      </c>
      <c r="N34" s="22">
        <f>('BFI Scores'!S34-'BFI Scores'!D34)^2</f>
        <v>0.22194567901234477</v>
      </c>
      <c r="O34" s="22">
        <f>('BFI Scores'!T34-'BFI Scores'!E34)^2</f>
        <v>0.50765624999999992</v>
      </c>
      <c r="P34" s="22">
        <f>('BFI Scores'!U34-'BFI Scores'!F34)^2</f>
        <v>0.44889999999999991</v>
      </c>
      <c r="Q34" s="22">
        <f>('BFI Scores'!V34-'BFI Scores'!B34)^2</f>
        <v>0.77439999999999987</v>
      </c>
      <c r="R34" s="22">
        <f>('BFI Scores'!W34-'BFI Scores'!C34)^2</f>
        <v>0.31235679012345813</v>
      </c>
      <c r="S34" s="22">
        <f>('BFI Scores'!X34-'BFI Scores'!D34)^2</f>
        <v>0.512019753086426</v>
      </c>
      <c r="T34" s="22">
        <f>('BFI Scores'!Y34-'BFI Scores'!E34)^2</f>
        <v>2.640625000000003E-2</v>
      </c>
      <c r="U34" s="22">
        <f>('BFI Scores'!Z34-'BFI Scores'!F34)^2</f>
        <v>0.70559999999999978</v>
      </c>
      <c r="V34" s="29">
        <f>('BFI Scores'!AA34-'BFI Scores'!B34)^2</f>
        <v>6.5024999999999944E-2</v>
      </c>
      <c r="W34" s="29">
        <f>('BFI Scores'!AB34-'BFI Scores'!C34)^2</f>
        <v>1.309753086419878E-2</v>
      </c>
      <c r="X34" s="29">
        <f>('BFI Scores'!AC34-'BFI Scores'!D34)^2</f>
        <v>0.20150123456790242</v>
      </c>
      <c r="Y34" s="29">
        <f>('BFI Scores'!AD34-'BFI Scores'!E34)^2</f>
        <v>0.47265625</v>
      </c>
      <c r="Z34" s="29">
        <f>('BFI Scores'!AE34-'BFI Scores'!F34)^2</f>
        <v>1</v>
      </c>
      <c r="AA34" s="29">
        <f>('BFI Scores'!AF34-'BFI Scores'!B34)^2</f>
        <v>3.2399999999999901E-2</v>
      </c>
      <c r="AB34" s="29">
        <f>('BFI Scores'!AG34-'BFI Scores'!C34)^2</f>
        <v>0.46391234567901096</v>
      </c>
      <c r="AC34" s="29">
        <f>('BFI Scores'!AH34-'BFI Scores'!D34)^2</f>
        <v>0.20150123456790242</v>
      </c>
      <c r="AD34" s="29">
        <f>('BFI Scores'!AI34-'BFI Scores'!E34)^2</f>
        <v>0.30250000000000005</v>
      </c>
      <c r="AE34" s="29">
        <f>('BFI Scores'!AJ34-'BFI Scores'!F34)^2</f>
        <v>1.2995999999999992</v>
      </c>
      <c r="AF34" s="23">
        <f t="shared" ref="AF34:AF65" si="6">AVERAGE(B34:F34)</f>
        <v>0.374239320987654</v>
      </c>
      <c r="AG34" s="23">
        <f t="shared" ref="AG34:AG65" si="7">AVERAGE(G34:K34)</f>
        <v>0.28281304012345687</v>
      </c>
      <c r="AH34" s="23">
        <f t="shared" ref="AH34:AH65" si="8">AVERAGE(L34:P34)</f>
        <v>0.23829618827160468</v>
      </c>
      <c r="AI34" s="23">
        <f t="shared" ref="AI34:AI65" si="9">AVERAGE(Q34:U34)</f>
        <v>0.46615655864197675</v>
      </c>
      <c r="AJ34" s="30">
        <f t="shared" ref="AJ34:AJ65" si="10">AVERAGE(V34:Z34)</f>
        <v>0.35045600308642022</v>
      </c>
      <c r="AK34" s="30">
        <f t="shared" ref="AK34:AK65" si="11">AVERAGE(AA34:AE34)</f>
        <v>0.45998271604938246</v>
      </c>
    </row>
    <row r="35" spans="1:37" x14ac:dyDescent="0.2">
      <c r="A35" s="21">
        <v>40570</v>
      </c>
      <c r="B35" s="22">
        <f>('BFI Scores'!G35-'BFI Scores'!B35)^2</f>
        <v>4.0200249999999995</v>
      </c>
      <c r="C35" s="22">
        <f>('BFI Scores'!H35-'BFI Scores'!C35)^2</f>
        <v>1.6327160493827215</v>
      </c>
      <c r="D35" s="22">
        <f>('BFI Scores'!I35-'BFI Scores'!D35)^2</f>
        <v>1.0313530864197626</v>
      </c>
      <c r="E35" s="22">
        <f>('BFI Scores'!J35-'BFI Scores'!E35)^2</f>
        <v>6.25E-2</v>
      </c>
      <c r="F35" s="22">
        <f>('BFI Scores'!K35-'BFI Scores'!F35)^2</f>
        <v>0.28090000000000026</v>
      </c>
      <c r="G35" s="22">
        <f>('BFI Scores'!L35-'BFI Scores'!B35)^2</f>
        <v>8.5556249999999986E-2</v>
      </c>
      <c r="H35" s="22">
        <f>('BFI Scores'!M35-'BFI Scores'!C35)^2</f>
        <v>1.6899999999999995</v>
      </c>
      <c r="I35" s="22">
        <f>('BFI Scores'!N35-'BFI Scores'!D35)^2</f>
        <v>0.29159999999999958</v>
      </c>
      <c r="J35" s="22">
        <f>('BFI Scores'!O35-'BFI Scores'!E35)^2</f>
        <v>0.85562500000000008</v>
      </c>
      <c r="K35" s="22">
        <f>('BFI Scores'!P35-'BFI Scores'!F35)^2</f>
        <v>0.23040000000000041</v>
      </c>
      <c r="L35" s="22">
        <f>('BFI Scores'!Q35-'BFI Scores'!B35)^2</f>
        <v>0.81902499999999967</v>
      </c>
      <c r="M35" s="22">
        <f>('BFI Scores'!R35-'BFI Scores'!C35)^2</f>
        <v>0.95604938271605389</v>
      </c>
      <c r="N35" s="22">
        <f>('BFI Scores'!S35-'BFI Scores'!D35)^2</f>
        <v>1.2693777777777853</v>
      </c>
      <c r="O35" s="22">
        <f>('BFI Scores'!T35-'BFI Scores'!E35)^2</f>
        <v>0.80999999999999983</v>
      </c>
      <c r="P35" s="22">
        <f>('BFI Scores'!U35-'BFI Scores'!F35)^2</f>
        <v>0.10240000000000019</v>
      </c>
      <c r="Q35" s="22">
        <f>('BFI Scores'!V35-'BFI Scores'!B35)^2</f>
        <v>1.3923999999999994</v>
      </c>
      <c r="R35" s="22">
        <f>('BFI Scores'!W35-'BFI Scores'!C35)^2</f>
        <v>0.80999999999999983</v>
      </c>
      <c r="S35" s="22">
        <f>('BFI Scores'!X35-'BFI Scores'!D35)^2</f>
        <v>1.4271604938273382E-3</v>
      </c>
      <c r="T35" s="22">
        <f>('BFI Scores'!Y35-'BFI Scores'!E35)^2</f>
        <v>4.4626562499999993</v>
      </c>
      <c r="U35" s="22">
        <f>('BFI Scores'!Z35-'BFI Scores'!F35)^2</f>
        <v>1.4160999999999999</v>
      </c>
      <c r="V35" s="29">
        <f>('BFI Scores'!AA35-'BFI Scores'!B35)^2</f>
        <v>2.3408999999999995</v>
      </c>
      <c r="W35" s="29">
        <f>('BFI Scores'!AB35-'BFI Scores'!C35)^2</f>
        <v>1.7190123456790094</v>
      </c>
      <c r="X35" s="29">
        <f>('BFI Scores'!AC35-'BFI Scores'!D35)^2</f>
        <v>1.4240444444444604</v>
      </c>
      <c r="Y35" s="29">
        <f>('BFI Scores'!AD35-'BFI Scores'!E35)^2</f>
        <v>2.2499999999999975E-2</v>
      </c>
      <c r="Z35" s="29">
        <f>('BFI Scores'!AE35-'BFI Scores'!F35)^2</f>
        <v>0.17639999999999995</v>
      </c>
      <c r="AA35" s="29">
        <f>('BFI Scores'!AF35-'BFI Scores'!B35)^2</f>
        <v>1.6899999999999971E-2</v>
      </c>
      <c r="AB35" s="29">
        <f>('BFI Scores'!AG35-'BFI Scores'!C35)^2</f>
        <v>1.9290123456790158</v>
      </c>
      <c r="AC35" s="29">
        <f>('BFI Scores'!AH35-'BFI Scores'!D35)^2</f>
        <v>0.20150123456790242</v>
      </c>
      <c r="AD35" s="29">
        <f>('BFI Scores'!AI35-'BFI Scores'!E35)^2</f>
        <v>0.15015624999999996</v>
      </c>
      <c r="AE35" s="29">
        <f>('BFI Scores'!AJ35-'BFI Scores'!F35)^2</f>
        <v>0.1155999999999999</v>
      </c>
      <c r="AF35" s="23">
        <f t="shared" si="6"/>
        <v>1.4054988271604967</v>
      </c>
      <c r="AG35" s="23">
        <f t="shared" si="7"/>
        <v>0.6306362499999999</v>
      </c>
      <c r="AH35" s="23">
        <f t="shared" si="8"/>
        <v>0.79137043209876778</v>
      </c>
      <c r="AI35" s="23">
        <f t="shared" si="9"/>
        <v>1.6165166820987651</v>
      </c>
      <c r="AJ35" s="30">
        <f t="shared" si="10"/>
        <v>1.1365713580246939</v>
      </c>
      <c r="AK35" s="30">
        <f t="shared" si="11"/>
        <v>0.48263396604938358</v>
      </c>
    </row>
    <row r="36" spans="1:37" x14ac:dyDescent="0.2">
      <c r="A36" s="21">
        <v>41227</v>
      </c>
      <c r="B36" s="22">
        <f>('BFI Scores'!G36-'BFI Scores'!B36)^2</f>
        <v>0.91202500000000009</v>
      </c>
      <c r="C36" s="22">
        <f>('BFI Scores'!H36-'BFI Scores'!C36)^2</f>
        <v>0.61187160493826764</v>
      </c>
      <c r="D36" s="22">
        <f>('BFI Scores'!I36-'BFI Scores'!D36)^2</f>
        <v>2.7851901234567937</v>
      </c>
      <c r="E36" s="22">
        <f>('BFI Scores'!J36-'BFI Scores'!E36)^2</f>
        <v>0.17430624999999961</v>
      </c>
      <c r="F36" s="22">
        <f>('BFI Scores'!K36-'BFI Scores'!F36)^2</f>
        <v>3.7249000000000008</v>
      </c>
      <c r="G36" s="22">
        <f>('BFI Scores'!L36-'BFI Scores'!B36)^2</f>
        <v>2.2650249999999996</v>
      </c>
      <c r="H36" s="22">
        <f>('BFI Scores'!M36-'BFI Scores'!C36)^2</f>
        <v>3.3204938271607712E-2</v>
      </c>
      <c r="I36" s="22">
        <f>('BFI Scores'!N36-'BFI Scores'!D36)^2</f>
        <v>3.1289679012345704</v>
      </c>
      <c r="J36" s="22">
        <f>('BFI Scores'!O36-'BFI Scores'!E36)^2</f>
        <v>6.7210562499999993</v>
      </c>
      <c r="K36" s="22">
        <f>('BFI Scores'!P36-'BFI Scores'!F36)^2</f>
        <v>5.5225000000000009</v>
      </c>
      <c r="L36" s="22">
        <f>('BFI Scores'!Q36-'BFI Scores'!B36)^2</f>
        <v>0.16402499999999984</v>
      </c>
      <c r="M36" s="22">
        <f>('BFI Scores'!R36-'BFI Scores'!C36)^2</f>
        <v>0.36535308641974762</v>
      </c>
      <c r="N36" s="22">
        <f>('BFI Scores'!S36-'BFI Scores'!D36)^2</f>
        <v>2.7851901234567937</v>
      </c>
      <c r="O36" s="22">
        <f>('BFI Scores'!T36-'BFI Scores'!E36)^2</f>
        <v>0.10080624999999993</v>
      </c>
      <c r="P36" s="22">
        <f>('BFI Scores'!U36-'BFI Scores'!F36)^2</f>
        <v>3.6481000000000003</v>
      </c>
      <c r="Q36" s="22">
        <f>('BFI Scores'!V36-'BFI Scores'!B36)^2</f>
        <v>0.18489999999999976</v>
      </c>
      <c r="R36" s="22">
        <f>('BFI Scores'!W36-'BFI Scores'!C36)^2</f>
        <v>0.59804444444443905</v>
      </c>
      <c r="S36" s="22">
        <f>('BFI Scores'!X36-'BFI Scores'!D36)^2</f>
        <v>2.6388197530864366</v>
      </c>
      <c r="T36" s="22">
        <f>('BFI Scores'!Y36-'BFI Scores'!E36)^2</f>
        <v>5.2555562499999997</v>
      </c>
      <c r="U36" s="22">
        <f>('BFI Scores'!Z36-'BFI Scores'!F36)^2</f>
        <v>4.9729000000000001</v>
      </c>
      <c r="V36" s="29">
        <f>('BFI Scores'!AA36-'BFI Scores'!B36)^2</f>
        <v>0.81902499999999967</v>
      </c>
      <c r="W36" s="29">
        <f>('BFI Scores'!AB36-'BFI Scores'!C36)^2</f>
        <v>1.2945382716049438</v>
      </c>
      <c r="X36" s="29">
        <f>('BFI Scores'!AC36-'BFI Scores'!D36)^2</f>
        <v>2.7851901234567937</v>
      </c>
      <c r="Y36" s="29">
        <f>('BFI Scores'!AD36-'BFI Scores'!E36)^2</f>
        <v>0.42902499999999977</v>
      </c>
      <c r="Z36" s="29">
        <f>('BFI Scores'!AE36-'BFI Scores'!F36)^2</f>
        <v>3.6863999999999999</v>
      </c>
      <c r="AA36" s="29">
        <f>('BFI Scores'!AF36-'BFI Scores'!B36)^2</f>
        <v>0.25502499999999989</v>
      </c>
      <c r="AB36" s="29">
        <f>('BFI Scores'!AG36-'BFI Scores'!C36)^2</f>
        <v>1.898271604938339E-2</v>
      </c>
      <c r="AC36" s="29">
        <f>('BFI Scores'!AH36-'BFI Scores'!D36)^2</f>
        <v>3.1289679012345704</v>
      </c>
      <c r="AD36" s="29">
        <f>('BFI Scores'!AI36-'BFI Scores'!E36)^2</f>
        <v>6.1504000000000003</v>
      </c>
      <c r="AE36" s="29">
        <f>('BFI Scores'!AJ36-'BFI Scores'!F36)^2</f>
        <v>5.3824000000000014</v>
      </c>
      <c r="AF36" s="23">
        <f t="shared" si="6"/>
        <v>1.6416585956790122</v>
      </c>
      <c r="AG36" s="23">
        <f t="shared" si="7"/>
        <v>3.534150817901236</v>
      </c>
      <c r="AH36" s="23">
        <f t="shared" si="8"/>
        <v>1.4126948919753084</v>
      </c>
      <c r="AI36" s="23">
        <f t="shared" si="9"/>
        <v>2.7300440895061748</v>
      </c>
      <c r="AJ36" s="30">
        <f t="shared" si="10"/>
        <v>1.8028356790123474</v>
      </c>
      <c r="AK36" s="30">
        <f t="shared" si="11"/>
        <v>2.987155123456791</v>
      </c>
    </row>
    <row r="37" spans="1:37" x14ac:dyDescent="0.2">
      <c r="A37" s="21">
        <v>41384</v>
      </c>
      <c r="B37" s="22">
        <f>('BFI Scores'!G37-'BFI Scores'!B37)^2</f>
        <v>4.5562499999999857E-3</v>
      </c>
      <c r="C37" s="22">
        <f>('BFI Scores'!H37-'BFI Scores'!C37)^2</f>
        <v>5.5695999999999977</v>
      </c>
      <c r="D37" s="22">
        <f>('BFI Scores'!I37-'BFI Scores'!D37)^2</f>
        <v>0.41244938271604598</v>
      </c>
      <c r="E37" s="22">
        <f>('BFI Scores'!J37-'BFI Scores'!E37)^2</f>
        <v>1.3983062500000003</v>
      </c>
      <c r="F37" s="22">
        <f>('BFI Scores'!K37-'BFI Scores'!F37)^2</f>
        <v>0.34809999999999985</v>
      </c>
      <c r="G37" s="22">
        <f>('BFI Scores'!L37-'BFI Scores'!B37)^2</f>
        <v>0.18705625000000009</v>
      </c>
      <c r="H37" s="22">
        <f>('BFI Scores'!M37-'BFI Scores'!C37)^2</f>
        <v>11.590241975308679</v>
      </c>
      <c r="I37" s="22">
        <f>('BFI Scores'!N37-'BFI Scores'!D37)^2</f>
        <v>6.0188444444444258</v>
      </c>
      <c r="J37" s="22">
        <f>('BFI Scores'!O37-'BFI Scores'!E37)^2</f>
        <v>6.2875562500000015</v>
      </c>
      <c r="K37" s="22">
        <f>('BFI Scores'!P37-'BFI Scores'!F37)^2</f>
        <v>4.4521000000000015</v>
      </c>
      <c r="L37" s="22">
        <f>('BFI Scores'!Q37-'BFI Scores'!B37)^2</f>
        <v>3.3306250000000037E-2</v>
      </c>
      <c r="M37" s="22">
        <f>('BFI Scores'!R37-'BFI Scores'!C37)^2</f>
        <v>7.4347111111110715</v>
      </c>
      <c r="N37" s="22">
        <f>('BFI Scores'!S37-'BFI Scores'!D37)^2</f>
        <v>4.6368444444444288</v>
      </c>
      <c r="O37" s="22">
        <f>('BFI Scores'!T37-'BFI Scores'!E37)^2</f>
        <v>3.6863999999999999</v>
      </c>
      <c r="P37" s="22">
        <f>('BFI Scores'!U37-'BFI Scores'!F37)^2</f>
        <v>0.75690000000000024</v>
      </c>
      <c r="Q37" s="22">
        <f>('BFI Scores'!V37-'BFI Scores'!B37)^2</f>
        <v>0.14630625000000022</v>
      </c>
      <c r="R37" s="22">
        <f>('BFI Scores'!W37-'BFI Scores'!C37)^2</f>
        <v>12.048612345679002</v>
      </c>
      <c r="S37" s="22">
        <f>('BFI Scores'!X37-'BFI Scores'!D37)^2</f>
        <v>4.8791901234567927</v>
      </c>
      <c r="T37" s="22">
        <f>('BFI Scores'!Y37-'BFI Scores'!E37)^2</f>
        <v>6.3504000000000023</v>
      </c>
      <c r="U37" s="22">
        <f>('BFI Scores'!Z37-'BFI Scores'!F37)^2</f>
        <v>4.7961</v>
      </c>
      <c r="V37" s="29">
        <f>('BFI Scores'!AA37-'BFI Scores'!B37)^2</f>
        <v>0.77880625000000048</v>
      </c>
      <c r="W37" s="29">
        <f>('BFI Scores'!AB37-'BFI Scores'!C37)^2</f>
        <v>6.8993777777777927</v>
      </c>
      <c r="X37" s="29">
        <f>('BFI Scores'!AC37-'BFI Scores'!D37)^2</f>
        <v>4.7815111111111239</v>
      </c>
      <c r="Y37" s="29">
        <f>('BFI Scores'!AD37-'BFI Scores'!E37)^2</f>
        <v>2.8308062500000002</v>
      </c>
      <c r="Z37" s="29">
        <f>('BFI Scores'!AE37-'BFI Scores'!F37)^2</f>
        <v>0.98010000000000042</v>
      </c>
      <c r="AA37" s="29">
        <f>('BFI Scores'!AF37-'BFI Scores'!B37)^2</f>
        <v>1.171806250000001</v>
      </c>
      <c r="AB37" s="29">
        <f>('BFI Scores'!AG37-'BFI Scores'!C37)^2</f>
        <v>11.289599999999997</v>
      </c>
      <c r="AC37" s="29">
        <f>('BFI Scores'!AH37-'BFI Scores'!D37)^2</f>
        <v>7.952399999999999</v>
      </c>
      <c r="AD37" s="29">
        <f>('BFI Scores'!AI37-'BFI Scores'!E37)^2</f>
        <v>8.1653062500000004</v>
      </c>
      <c r="AE37" s="29">
        <f>('BFI Scores'!AJ37-'BFI Scores'!F37)^2</f>
        <v>4.2024999999999997</v>
      </c>
      <c r="AF37" s="23">
        <f t="shared" si="6"/>
        <v>1.5466023765432086</v>
      </c>
      <c r="AG37" s="23">
        <f t="shared" si="7"/>
        <v>5.7071597839506207</v>
      </c>
      <c r="AH37" s="23">
        <f t="shared" si="8"/>
        <v>3.3096323611111003</v>
      </c>
      <c r="AI37" s="23">
        <f t="shared" si="9"/>
        <v>5.6441217438271583</v>
      </c>
      <c r="AJ37" s="30">
        <f t="shared" si="10"/>
        <v>3.2541202777777842</v>
      </c>
      <c r="AK37" s="30">
        <f t="shared" si="11"/>
        <v>6.5563224999999985</v>
      </c>
    </row>
    <row r="38" spans="1:37" x14ac:dyDescent="0.2">
      <c r="A38" s="21">
        <v>41788</v>
      </c>
      <c r="B38" s="22">
        <f>('BFI Scores'!G38-'BFI Scores'!B38)^2</f>
        <v>0.73102499999999992</v>
      </c>
      <c r="C38" s="22">
        <f>('BFI Scores'!H38-'BFI Scores'!C38)^2</f>
        <v>3.401975308642171E-2</v>
      </c>
      <c r="D38" s="22">
        <f>('BFI Scores'!I38-'BFI Scores'!D38)^2</f>
        <v>4.2711111111112532E-2</v>
      </c>
      <c r="E38" s="22">
        <f>('BFI Scores'!J38-'BFI Scores'!E38)^2</f>
        <v>0.50765624999999992</v>
      </c>
      <c r="F38" s="22">
        <f>('BFI Scores'!K38-'BFI Scores'!F38)^2</f>
        <v>2.6568999999999998</v>
      </c>
      <c r="G38" s="22">
        <f>('BFI Scores'!L38-'BFI Scores'!B38)^2</f>
        <v>8.5556249999999986E-2</v>
      </c>
      <c r="H38" s="22">
        <f>('BFI Scores'!M38-'BFI Scores'!C38)^2</f>
        <v>7.1308641975318188E-3</v>
      </c>
      <c r="I38" s="22">
        <f>('BFI Scores'!N38-'BFI Scores'!D38)^2</f>
        <v>4.7427160493828065E-2</v>
      </c>
      <c r="J38" s="22">
        <f>('BFI Scores'!O38-'BFI Scores'!E38)^2</f>
        <v>0.50765624999999992</v>
      </c>
      <c r="K38" s="22">
        <f>('BFI Scores'!P38-'BFI Scores'!F38)^2</f>
        <v>2.4999999999999823E-3</v>
      </c>
      <c r="L38" s="22">
        <f>('BFI Scores'!Q38-'BFI Scores'!B38)^2</f>
        <v>0.26780625000000008</v>
      </c>
      <c r="M38" s="22">
        <f>('BFI Scores'!R38-'BFI Scores'!C38)^2</f>
        <v>0.63290864197531571</v>
      </c>
      <c r="N38" s="22">
        <f>('BFI Scores'!S38-'BFI Scores'!D38)^2</f>
        <v>0.13120493827160318</v>
      </c>
      <c r="O38" s="22">
        <f>('BFI Scores'!T38-'BFI Scores'!E38)^2</f>
        <v>1.9951562499999991</v>
      </c>
      <c r="P38" s="22">
        <f>('BFI Scores'!U38-'BFI Scores'!F38)^2</f>
        <v>3.3488999999999987</v>
      </c>
      <c r="Q38" s="22">
        <f>('BFI Scores'!V38-'BFI Scores'!B38)^2</f>
        <v>3.0625000000000248E-4</v>
      </c>
      <c r="R38" s="22">
        <f>('BFI Scores'!W38-'BFI Scores'!C38)^2</f>
        <v>0.30372345679012197</v>
      </c>
      <c r="S38" s="22">
        <f>('BFI Scores'!X38-'BFI Scores'!D38)^2</f>
        <v>0.20150123456790242</v>
      </c>
      <c r="T38" s="22">
        <f>('BFI Scores'!Y38-'BFI Scores'!E38)^2</f>
        <v>0.42249999999999988</v>
      </c>
      <c r="U38" s="22">
        <f>('BFI Scores'!Z38-'BFI Scores'!F38)^2</f>
        <v>0.3599999999999996</v>
      </c>
      <c r="V38" s="29">
        <f>('BFI Scores'!AA38-'BFI Scores'!B38)^2</f>
        <v>0.10080624999999993</v>
      </c>
      <c r="W38" s="29">
        <f>('BFI Scores'!AB38-'BFI Scores'!C38)^2</f>
        <v>0.13120493827160318</v>
      </c>
      <c r="X38" s="29">
        <f>('BFI Scores'!AC38-'BFI Scores'!D38)^2</f>
        <v>9.4044444444446332E-2</v>
      </c>
      <c r="Y38" s="29">
        <f>('BFI Scores'!AD38-'BFI Scores'!E38)^2</f>
        <v>0.5625</v>
      </c>
      <c r="Z38" s="29">
        <f>('BFI Scores'!AE38-'BFI Scores'!F38)^2</f>
        <v>2.0448999999999993</v>
      </c>
      <c r="AA38" s="29">
        <f>('BFI Scores'!AF38-'BFI Scores'!B38)^2</f>
        <v>3.3062500000000123E-3</v>
      </c>
      <c r="AB38" s="29">
        <f>('BFI Scores'!AG38-'BFI Scores'!C38)^2</f>
        <v>5.2390123456790644E-2</v>
      </c>
      <c r="AC38" s="29">
        <f>('BFI Scores'!AH38-'BFI Scores'!D38)^2</f>
        <v>0.10816790123456871</v>
      </c>
      <c r="AD38" s="29">
        <f>('BFI Scores'!AI38-'BFI Scores'!E38)^2</f>
        <v>0.5625</v>
      </c>
      <c r="AE38" s="29">
        <f>('BFI Scores'!AJ38-'BFI Scores'!F38)^2</f>
        <v>4.0000000000001845E-4</v>
      </c>
      <c r="AF38" s="23">
        <f t="shared" si="6"/>
        <v>0.79446242283950674</v>
      </c>
      <c r="AG38" s="23">
        <f t="shared" si="7"/>
        <v>0.13005410493827194</v>
      </c>
      <c r="AH38" s="23">
        <f t="shared" si="8"/>
        <v>1.2751952160493834</v>
      </c>
      <c r="AI38" s="23">
        <f t="shared" si="9"/>
        <v>0.25760618827160481</v>
      </c>
      <c r="AJ38" s="30">
        <f t="shared" si="10"/>
        <v>0.58669112654320976</v>
      </c>
      <c r="AK38" s="30">
        <f t="shared" si="11"/>
        <v>0.14535285493827188</v>
      </c>
    </row>
    <row r="39" spans="1:37" x14ac:dyDescent="0.2">
      <c r="A39" s="21">
        <v>41919</v>
      </c>
      <c r="B39" s="22">
        <f>('BFI Scores'!G39-'BFI Scores'!B39)^2</f>
        <v>1.5750249999999997</v>
      </c>
      <c r="C39" s="22">
        <f>('BFI Scores'!H39-'BFI Scores'!C39)^2</f>
        <v>4.5511111111113785E-2</v>
      </c>
      <c r="D39" s="22">
        <f>('BFI Scores'!I39-'BFI Scores'!D39)^2</f>
        <v>4.2895012345678953</v>
      </c>
      <c r="E39" s="22">
        <f>('BFI Scores'!J39-'BFI Scores'!E39)^2</f>
        <v>4.000000000000007E-2</v>
      </c>
      <c r="F39" s="22">
        <f>('BFI Scores'!K39-'BFI Scores'!F39)^2</f>
        <v>2.4335999999999989</v>
      </c>
      <c r="G39" s="22">
        <f>('BFI Scores'!L39-'BFI Scores'!B39)^2</f>
        <v>0.88830624999999985</v>
      </c>
      <c r="H39" s="22">
        <f>('BFI Scores'!M39-'BFI Scores'!C39)^2</f>
        <v>5.8671604938270804E-2</v>
      </c>
      <c r="I39" s="22">
        <f>('BFI Scores'!N39-'BFI Scores'!D39)^2</f>
        <v>6.3280197530864406</v>
      </c>
      <c r="J39" s="22">
        <f>('BFI Scores'!O39-'BFI Scores'!E39)^2</f>
        <v>1.5625E-2</v>
      </c>
      <c r="K39" s="22">
        <f>('BFI Scores'!P39-'BFI Scores'!F39)^2</f>
        <v>2.2200999999999995</v>
      </c>
      <c r="L39" s="22">
        <f>('BFI Scores'!Q39-'BFI Scores'!B39)^2</f>
        <v>0.58905625000000006</v>
      </c>
      <c r="M39" s="22">
        <f>('BFI Scores'!R39-'BFI Scores'!C39)^2</f>
        <v>5.5486419753088496E-2</v>
      </c>
      <c r="N39" s="22">
        <f>('BFI Scores'!S39-'BFI Scores'!D39)^2</f>
        <v>1.5875999999999995</v>
      </c>
      <c r="O39" s="22">
        <f>('BFI Scores'!T39-'BFI Scores'!E39)^2</f>
        <v>0.95062500000000016</v>
      </c>
      <c r="P39" s="22">
        <f>('BFI Scores'!U39-'BFI Scores'!F39)^2</f>
        <v>2.7224999999999997</v>
      </c>
      <c r="Q39" s="22">
        <f>('BFI Scores'!V39-'BFI Scores'!B39)^2</f>
        <v>0.42902499999999977</v>
      </c>
      <c r="R39" s="22">
        <f>('BFI Scores'!W39-'BFI Scores'!C39)^2</f>
        <v>0.59119012345679123</v>
      </c>
      <c r="S39" s="22">
        <f>('BFI Scores'!X39-'BFI Scores'!D39)^2</f>
        <v>4.9086864197531037</v>
      </c>
      <c r="T39" s="22">
        <f>('BFI Scores'!Y39-'BFI Scores'!E39)^2</f>
        <v>0.68062500000000026</v>
      </c>
      <c r="U39" s="22">
        <f>('BFI Scores'!Z39-'BFI Scores'!F39)^2</f>
        <v>3.0275999999999992</v>
      </c>
      <c r="V39" s="29">
        <f>('BFI Scores'!AA39-'BFI Scores'!B39)^2</f>
        <v>0.58905625000000006</v>
      </c>
      <c r="W39" s="29">
        <f>('BFI Scores'!AB39-'BFI Scores'!C39)^2</f>
        <v>6.644938271605047E-2</v>
      </c>
      <c r="X39" s="29">
        <f>('BFI Scores'!AC39-'BFI Scores'!D39)^2</f>
        <v>6.0515999999999979</v>
      </c>
      <c r="Y39" s="29">
        <f>('BFI Scores'!AD39-'BFI Scores'!E39)^2</f>
        <v>1.2656249999999959E-2</v>
      </c>
      <c r="Z39" s="29">
        <f>('BFI Scores'!AE39-'BFI Scores'!F39)^2</f>
        <v>2.3715999999999999</v>
      </c>
      <c r="AA39" s="29">
        <f>('BFI Scores'!AF39-'BFI Scores'!B39)^2</f>
        <v>4.8400000000000089E-2</v>
      </c>
      <c r="AB39" s="29">
        <f>('BFI Scores'!AG39-'BFI Scores'!C39)^2</f>
        <v>6.3999999999999405E-3</v>
      </c>
      <c r="AC39" s="29">
        <f>('BFI Scores'!AH39-'BFI Scores'!D39)^2</f>
        <v>6.5535999999999976</v>
      </c>
      <c r="AD39" s="29">
        <f>('BFI Scores'!AI39-'BFI Scores'!E39)^2</f>
        <v>0.31640625</v>
      </c>
      <c r="AE39" s="29">
        <f>('BFI Scores'!AJ39-'BFI Scores'!F39)^2</f>
        <v>1.4883999999999995</v>
      </c>
      <c r="AF39" s="23">
        <f t="shared" si="6"/>
        <v>1.6767274691358014</v>
      </c>
      <c r="AG39" s="23">
        <f t="shared" si="7"/>
        <v>1.9021445216049422</v>
      </c>
      <c r="AH39" s="23">
        <f t="shared" si="8"/>
        <v>1.1810535339506176</v>
      </c>
      <c r="AI39" s="23">
        <f t="shared" si="9"/>
        <v>1.9274253086419786</v>
      </c>
      <c r="AJ39" s="30">
        <f t="shared" si="10"/>
        <v>1.8182723765432098</v>
      </c>
      <c r="AK39" s="30">
        <f t="shared" si="11"/>
        <v>1.6826412499999996</v>
      </c>
    </row>
    <row r="40" spans="1:37" x14ac:dyDescent="0.2">
      <c r="A40" s="21">
        <v>43118</v>
      </c>
      <c r="B40" s="22">
        <f>('BFI Scores'!G40-'BFI Scores'!B40)^2</f>
        <v>0.13690000000000008</v>
      </c>
      <c r="C40" s="22">
        <f>('BFI Scores'!H40-'BFI Scores'!C40)^2</f>
        <v>0.36267160493826944</v>
      </c>
      <c r="D40" s="22">
        <f>('BFI Scores'!I40-'BFI Scores'!D40)^2</f>
        <v>1.2026777777777855</v>
      </c>
      <c r="E40" s="22">
        <f>('BFI Scores'!J40-'BFI Scores'!E40)^2</f>
        <v>0.15999999999999992</v>
      </c>
      <c r="F40" s="22">
        <f>('BFI Scores'!K40-'BFI Scores'!F40)^2</f>
        <v>1.3225000000000009</v>
      </c>
      <c r="G40" s="22">
        <f>('BFI Scores'!L40-'BFI Scores'!B40)^2</f>
        <v>0.57002499999999989</v>
      </c>
      <c r="H40" s="22">
        <f>('BFI Scores'!M40-'BFI Scores'!C40)^2</f>
        <v>0.19951111111111397</v>
      </c>
      <c r="I40" s="22">
        <f>('BFI Scores'!N40-'BFI Scores'!D40)^2</f>
        <v>1.828504938271599</v>
      </c>
      <c r="J40" s="22">
        <f>('BFI Scores'!O40-'BFI Scores'!E40)^2</f>
        <v>0.10562500000000012</v>
      </c>
      <c r="K40" s="22">
        <f>('BFI Scores'!P40-'BFI Scores'!F40)^2</f>
        <v>1.1664000000000001</v>
      </c>
      <c r="L40" s="22">
        <f>('BFI Scores'!Q40-'BFI Scores'!B40)^2</f>
        <v>2.5043062500000013</v>
      </c>
      <c r="M40" s="22">
        <f>('BFI Scores'!R40-'BFI Scores'!C40)^2</f>
        <v>1.4187456790123438</v>
      </c>
      <c r="N40" s="22">
        <f>('BFI Scores'!S40-'BFI Scores'!D40)^2</f>
        <v>1.652653086419765</v>
      </c>
      <c r="O40" s="22">
        <f>('BFI Scores'!T40-'BFI Scores'!E40)^2</f>
        <v>3.999999999999998E-2</v>
      </c>
      <c r="P40" s="22">
        <f>('BFI Scores'!U40-'BFI Scores'!F40)^2</f>
        <v>0.60840000000000038</v>
      </c>
      <c r="Q40" s="22">
        <f>('BFI Scores'!V40-'BFI Scores'!B40)^2</f>
        <v>0.15602500000000002</v>
      </c>
      <c r="R40" s="22">
        <f>('BFI Scores'!W40-'BFI Scores'!C40)^2</f>
        <v>1.1905234567901215</v>
      </c>
      <c r="S40" s="22">
        <f>('BFI Scores'!X40-'BFI Scores'!D40)^2</f>
        <v>1.3793197530864096</v>
      </c>
      <c r="T40" s="22">
        <f>('BFI Scores'!Y40-'BFI Scores'!E40)^2</f>
        <v>3.4689062499999994</v>
      </c>
      <c r="U40" s="22">
        <f>('BFI Scores'!Z40-'BFI Scores'!F40)^2</f>
        <v>0.79210000000000025</v>
      </c>
      <c r="V40" s="29">
        <f>('BFI Scores'!AA40-'BFI Scores'!B40)^2</f>
        <v>1.2544000000000002</v>
      </c>
      <c r="W40" s="29">
        <f>('BFI Scores'!AB40-'BFI Scores'!C40)^2</f>
        <v>0.40393086419753632</v>
      </c>
      <c r="X40" s="29">
        <f>('BFI Scores'!AC40-'BFI Scores'!D40)^2</f>
        <v>1.5960111111111277</v>
      </c>
      <c r="Y40" s="29">
        <f>('BFI Scores'!AD40-'BFI Scores'!E40)^2</f>
        <v>8.2656250000000056E-2</v>
      </c>
      <c r="Z40" s="29">
        <f>('BFI Scores'!AE40-'BFI Scores'!F40)^2</f>
        <v>0.9025000000000003</v>
      </c>
      <c r="AA40" s="29">
        <f>('BFI Scores'!AF40-'BFI Scores'!B40)^2</f>
        <v>0.28089999999999982</v>
      </c>
      <c r="AB40" s="29">
        <f>('BFI Scores'!AG40-'BFI Scores'!C40)^2</f>
        <v>0.46240000000000081</v>
      </c>
      <c r="AC40" s="29">
        <f>('BFI Scores'!AH40-'BFI Scores'!D40)^2</f>
        <v>2.8786777777777885</v>
      </c>
      <c r="AD40" s="29">
        <f>('BFI Scores'!AI40-'BFI Scores'!E40)^2</f>
        <v>1.72265625</v>
      </c>
      <c r="AE40" s="29">
        <f>('BFI Scores'!AJ40-'BFI Scores'!F40)^2</f>
        <v>1.2100000000000002</v>
      </c>
      <c r="AF40" s="23">
        <f t="shared" si="6"/>
        <v>0.63694987654321111</v>
      </c>
      <c r="AG40" s="23">
        <f t="shared" si="7"/>
        <v>0.77401320987654265</v>
      </c>
      <c r="AH40" s="23">
        <f t="shared" si="8"/>
        <v>1.2448210030864222</v>
      </c>
      <c r="AI40" s="23">
        <f t="shared" si="9"/>
        <v>1.3973748919753062</v>
      </c>
      <c r="AJ40" s="30">
        <f t="shared" si="10"/>
        <v>0.84789964506173288</v>
      </c>
      <c r="AK40" s="30">
        <f t="shared" si="11"/>
        <v>1.3109268055555579</v>
      </c>
    </row>
    <row r="41" spans="1:37" x14ac:dyDescent="0.2">
      <c r="A41" s="21">
        <v>43294</v>
      </c>
      <c r="B41" s="22">
        <f>('BFI Scores'!G41-'BFI Scores'!B41)^2</f>
        <v>1.3630562499999999</v>
      </c>
      <c r="C41" s="22">
        <f>('BFI Scores'!H41-'BFI Scores'!C41)^2</f>
        <v>0.19753086419752708</v>
      </c>
      <c r="D41" s="22">
        <f>('BFI Scores'!I41-'BFI Scores'!D41)^2</f>
        <v>1.1095111111111249</v>
      </c>
      <c r="E41" s="22">
        <f>('BFI Scores'!J41-'BFI Scores'!E41)^2</f>
        <v>0.54390625000000004</v>
      </c>
      <c r="F41" s="22">
        <f>('BFI Scores'!K41-'BFI Scores'!F41)^2</f>
        <v>0.19359999999999997</v>
      </c>
      <c r="G41" s="22">
        <f>('BFI Scores'!L41-'BFI Scores'!B41)^2</f>
        <v>0.1958062499999999</v>
      </c>
      <c r="H41" s="22">
        <f>('BFI Scores'!M41-'BFI Scores'!C41)^2</f>
        <v>0.62234567901234683</v>
      </c>
      <c r="I41" s="22">
        <f>('BFI Scores'!N41-'BFI Scores'!D41)^2</f>
        <v>4.363456790123485E-2</v>
      </c>
      <c r="J41" s="22">
        <f>('BFI Scores'!O41-'BFI Scores'!E41)^2</f>
        <v>1.5625</v>
      </c>
      <c r="K41" s="22">
        <f>('BFI Scores'!P41-'BFI Scores'!F41)^2</f>
        <v>0.5625</v>
      </c>
      <c r="L41" s="22">
        <f>('BFI Scores'!Q41-'BFI Scores'!B41)^2</f>
        <v>0.20702500000000007</v>
      </c>
      <c r="M41" s="22">
        <f>('BFI Scores'!R41-'BFI Scores'!C41)^2</f>
        <v>0.11864197530863868</v>
      </c>
      <c r="N41" s="22">
        <f>('BFI Scores'!S41-'BFI Scores'!D41)^2</f>
        <v>1.4081777777777849</v>
      </c>
      <c r="O41" s="22">
        <f>('BFI Scores'!T41-'BFI Scores'!E41)^2</f>
        <v>0.140625</v>
      </c>
      <c r="P41" s="22">
        <f>('BFI Scores'!U41-'BFI Scores'!F41)^2</f>
        <v>1.6899999999999971E-2</v>
      </c>
      <c r="Q41" s="22">
        <f>('BFI Scores'!V41-'BFI Scores'!B41)^2</f>
        <v>1.5750249999999997</v>
      </c>
      <c r="R41" s="22">
        <f>('BFI Scores'!W41-'BFI Scores'!C41)^2</f>
        <v>9.9999999999999291E-3</v>
      </c>
      <c r="S41" s="22">
        <f>('BFI Scores'!X41-'BFI Scores'!D41)^2</f>
        <v>1.3046716049382656</v>
      </c>
      <c r="T41" s="22">
        <f>('BFI Scores'!Y41-'BFI Scores'!E41)^2</f>
        <v>2.8056249999999996</v>
      </c>
      <c r="U41" s="22">
        <f>('BFI Scores'!Z41-'BFI Scores'!F41)^2</f>
        <v>0.3248999999999998</v>
      </c>
      <c r="V41" s="29">
        <f>('BFI Scores'!AA41-'BFI Scores'!B41)^2</f>
        <v>1.3053062500000001</v>
      </c>
      <c r="W41" s="29">
        <f>('BFI Scores'!AB41-'BFI Scores'!C41)^2</f>
        <v>0.16000000000000028</v>
      </c>
      <c r="X41" s="29">
        <f>('BFI Scores'!AC41-'BFI Scores'!D41)^2</f>
        <v>2.8448444444444543</v>
      </c>
      <c r="Y41" s="29">
        <f>('BFI Scores'!AD41-'BFI Scores'!E41)^2</f>
        <v>0.92640624999999988</v>
      </c>
      <c r="Z41" s="29">
        <f>('BFI Scores'!AE41-'BFI Scores'!F41)^2</f>
        <v>0.57759999999999967</v>
      </c>
      <c r="AA41" s="29">
        <f>('BFI Scores'!AF41-'BFI Scores'!B41)^2</f>
        <v>1.6899999999999971E-2</v>
      </c>
      <c r="AB41" s="29">
        <f>('BFI Scores'!AG41-'BFI Scores'!C41)^2</f>
        <v>0.34679012345679183</v>
      </c>
      <c r="AC41" s="29">
        <f>('BFI Scores'!AH41-'BFI Scores'!D41)^2</f>
        <v>1.0631901234567873</v>
      </c>
      <c r="AD41" s="29">
        <f>('BFI Scores'!AI41-'BFI Scores'!E41)^2</f>
        <v>0.30250000000000005</v>
      </c>
      <c r="AE41" s="29">
        <f>('BFI Scores'!AJ41-'BFI Scores'!F41)^2</f>
        <v>0.44889999999999991</v>
      </c>
      <c r="AF41" s="23">
        <f t="shared" si="6"/>
        <v>0.68152089506173041</v>
      </c>
      <c r="AG41" s="23">
        <f t="shared" si="7"/>
        <v>0.59735729938271631</v>
      </c>
      <c r="AH41" s="23">
        <f t="shared" si="8"/>
        <v>0.37827395061728469</v>
      </c>
      <c r="AI41" s="23">
        <f t="shared" si="9"/>
        <v>1.2040443209876528</v>
      </c>
      <c r="AJ41" s="30">
        <f t="shared" si="10"/>
        <v>1.162831388888891</v>
      </c>
      <c r="AK41" s="30">
        <f t="shared" si="11"/>
        <v>0.43565604938271579</v>
      </c>
    </row>
    <row r="42" spans="1:37" x14ac:dyDescent="0.2">
      <c r="A42" s="21">
        <v>44256</v>
      </c>
      <c r="B42" s="22">
        <f>('BFI Scores'!G42-'BFI Scores'!B42)^2</f>
        <v>0.49702500000000011</v>
      </c>
      <c r="C42" s="22">
        <f>('BFI Scores'!H42-'BFI Scores'!C42)^2</f>
        <v>0.35468641975308041</v>
      </c>
      <c r="D42" s="22">
        <f>('BFI Scores'!I42-'BFI Scores'!D42)^2</f>
        <v>0.79804444444443767</v>
      </c>
      <c r="E42" s="22">
        <f>('BFI Scores'!J42-'BFI Scores'!E42)^2</f>
        <v>7.1556249999999919E-2</v>
      </c>
      <c r="F42" s="22">
        <f>('BFI Scores'!K42-'BFI Scores'!F42)^2</f>
        <v>3.027600000000001</v>
      </c>
      <c r="G42" s="22">
        <f>('BFI Scores'!L42-'BFI Scores'!B42)^2</f>
        <v>7.8399999999999886E-2</v>
      </c>
      <c r="H42" s="22">
        <f>('BFI Scores'!M42-'BFI Scores'!C42)^2</f>
        <v>0.24337777777777411</v>
      </c>
      <c r="I42" s="22">
        <f>('BFI Scores'!N42-'BFI Scores'!D42)^2</f>
        <v>0.17268641975308949</v>
      </c>
      <c r="J42" s="22">
        <f>('BFI Scores'!O42-'BFI Scores'!E42)^2</f>
        <v>0.75255624999999993</v>
      </c>
      <c r="K42" s="22">
        <f>('BFI Scores'!P42-'BFI Scores'!F42)^2</f>
        <v>1.2100000000000002</v>
      </c>
      <c r="L42" s="22">
        <f>('BFI Scores'!Q42-'BFI Scores'!B42)^2</f>
        <v>0.13690000000000008</v>
      </c>
      <c r="M42" s="22">
        <f>('BFI Scores'!R42-'BFI Scores'!C42)^2</f>
        <v>2.6896000000000018</v>
      </c>
      <c r="N42" s="22">
        <f>('BFI Scores'!S42-'BFI Scores'!D42)^2</f>
        <v>3.0975999999999995</v>
      </c>
      <c r="O42" s="22">
        <f>('BFI Scores'!T42-'BFI Scores'!E42)^2</f>
        <v>1.6770249999999998</v>
      </c>
      <c r="P42" s="22">
        <f>('BFI Scores'!U42-'BFI Scores'!F42)^2</f>
        <v>3.4595999999999996</v>
      </c>
      <c r="Q42" s="22">
        <f>('BFI Scores'!V42-'BFI Scores'!B42)^2</f>
        <v>6.8062500000000033E-3</v>
      </c>
      <c r="R42" s="22">
        <f>('BFI Scores'!W42-'BFI Scores'!C42)^2</f>
        <v>1.1377777777778493E-2</v>
      </c>
      <c r="S42" s="22">
        <f>('BFI Scores'!X42-'BFI Scores'!D42)^2</f>
        <v>2.3990567901234585</v>
      </c>
      <c r="T42" s="22">
        <f>('BFI Scores'!Y42-'BFI Scores'!E42)^2</f>
        <v>4.0300562500000012</v>
      </c>
      <c r="U42" s="22">
        <f>('BFI Scores'!Z42-'BFI Scores'!F42)^2</f>
        <v>2.0735999999999999</v>
      </c>
      <c r="V42" s="29">
        <f>('BFI Scores'!AA42-'BFI Scores'!B42)^2</f>
        <v>0.126025</v>
      </c>
      <c r="W42" s="29">
        <f>('BFI Scores'!AB42-'BFI Scores'!C42)^2</f>
        <v>0.42394567901234465</v>
      </c>
      <c r="X42" s="29">
        <f>('BFI Scores'!AC42-'BFI Scores'!D42)^2</f>
        <v>2.3647604938271662</v>
      </c>
      <c r="Y42" s="29">
        <f>('BFI Scores'!AD42-'BFI Scores'!E42)^2</f>
        <v>8.9999999999998827E-4</v>
      </c>
      <c r="Z42" s="29">
        <f>('BFI Scores'!AE42-'BFI Scores'!F42)^2</f>
        <v>3.027600000000001</v>
      </c>
      <c r="AA42" s="29">
        <f>('BFI Scores'!AF42-'BFI Scores'!B42)^2</f>
        <v>1.4280250000000008</v>
      </c>
      <c r="AB42" s="29">
        <f>('BFI Scores'!AG42-'BFI Scores'!C42)^2</f>
        <v>0.25446419753085953</v>
      </c>
      <c r="AC42" s="29">
        <f>('BFI Scores'!AH42-'BFI Scores'!D42)^2</f>
        <v>1.9105382716049315</v>
      </c>
      <c r="AD42" s="29">
        <f>('BFI Scores'!AI42-'BFI Scores'!E42)^2</f>
        <v>0.33639999999999981</v>
      </c>
      <c r="AE42" s="29">
        <f>('BFI Scores'!AJ42-'BFI Scores'!F42)^2</f>
        <v>1.1024999999999996</v>
      </c>
      <c r="AF42" s="23">
        <f t="shared" si="6"/>
        <v>0.94978242283950398</v>
      </c>
      <c r="AG42" s="23">
        <f t="shared" si="7"/>
        <v>0.49140408950617276</v>
      </c>
      <c r="AH42" s="23">
        <f t="shared" si="8"/>
        <v>2.212145</v>
      </c>
      <c r="AI42" s="23">
        <f t="shared" si="9"/>
        <v>1.7041794135802477</v>
      </c>
      <c r="AJ42" s="30">
        <f t="shared" si="10"/>
        <v>1.1886462345679025</v>
      </c>
      <c r="AK42" s="30">
        <f t="shared" si="11"/>
        <v>1.0063854938271581</v>
      </c>
    </row>
    <row r="43" spans="1:37" x14ac:dyDescent="0.2">
      <c r="A43" s="21">
        <v>46188</v>
      </c>
      <c r="B43" s="22">
        <f>('BFI Scores'!G43-'BFI Scores'!B43)^2</f>
        <v>0.89302500000000051</v>
      </c>
      <c r="C43" s="22">
        <f>('BFI Scores'!H43-'BFI Scores'!C43)^2</f>
        <v>1.0449382716049017E-2</v>
      </c>
      <c r="D43" s="22">
        <f>('BFI Scores'!I43-'BFI Scores'!D43)^2</f>
        <v>2.4823753086419567</v>
      </c>
      <c r="E43" s="22">
        <f>('BFI Scores'!J43-'BFI Scores'!E43)^2</f>
        <v>2.1025</v>
      </c>
      <c r="F43" s="22">
        <f>('BFI Scores'!K43-'BFI Scores'!F43)^2</f>
        <v>0.20249999999999976</v>
      </c>
      <c r="G43" s="22">
        <f>('BFI Scores'!L43-'BFI Scores'!B43)^2</f>
        <v>5.4056249999999965E-2</v>
      </c>
      <c r="H43" s="22">
        <f>('BFI Scores'!M43-'BFI Scores'!C43)^2</f>
        <v>9.1338271604937307E-2</v>
      </c>
      <c r="I43" s="22">
        <f>('BFI Scores'!N43-'BFI Scores'!D43)^2</f>
        <v>2.412844444444433</v>
      </c>
      <c r="J43" s="22">
        <f>('BFI Scores'!O43-'BFI Scores'!E43)^2</f>
        <v>2.8899999999999997</v>
      </c>
      <c r="K43" s="22">
        <f>('BFI Scores'!P43-'BFI Scores'!F43)^2</f>
        <v>0.19359999999999997</v>
      </c>
      <c r="L43" s="22">
        <f>('BFI Scores'!Q43-'BFI Scores'!B43)^2</f>
        <v>1.2544000000000002</v>
      </c>
      <c r="M43" s="22">
        <f>('BFI Scores'!R43-'BFI Scores'!C43)^2</f>
        <v>4.7456790123458163E-3</v>
      </c>
      <c r="N43" s="22">
        <f>('BFI Scores'!S43-'BFI Scores'!D43)^2</f>
        <v>4.363456790123485E-2</v>
      </c>
      <c r="O43" s="22">
        <f>('BFI Scores'!T43-'BFI Scores'!E43)^2</f>
        <v>1.8906250000000048E-2</v>
      </c>
      <c r="P43" s="22">
        <f>('BFI Scores'!U43-'BFI Scores'!F43)^2</f>
        <v>0.26010000000000022</v>
      </c>
      <c r="Q43" s="22">
        <f>('BFI Scores'!V43-'BFI Scores'!B43)^2</f>
        <v>1.2825562500000007</v>
      </c>
      <c r="R43" s="22">
        <f>('BFI Scores'!W43-'BFI Scores'!C43)^2</f>
        <v>5.7086419753092192E-3</v>
      </c>
      <c r="S43" s="22">
        <f>('BFI Scores'!X43-'BFI Scores'!D43)^2</f>
        <v>4.5416345679012293</v>
      </c>
      <c r="T43" s="22">
        <f>('BFI Scores'!Y43-'BFI Scores'!E43)^2</f>
        <v>0.15015625000000013</v>
      </c>
      <c r="U43" s="22">
        <f>('BFI Scores'!Z43-'BFI Scores'!F43)^2</f>
        <v>2.1315999999999984</v>
      </c>
      <c r="V43" s="29">
        <f>('BFI Scores'!AA43-'BFI Scores'!B43)^2</f>
        <v>1.9460250000000012</v>
      </c>
      <c r="W43" s="29">
        <f>('BFI Scores'!AB43-'BFI Scores'!C43)^2</f>
        <v>2.1511111111109239E-2</v>
      </c>
      <c r="X43" s="29">
        <f>('BFI Scores'!AC43-'BFI Scores'!D43)^2</f>
        <v>3.7291901234567844</v>
      </c>
      <c r="Y43" s="29">
        <f>('BFI Scores'!AD43-'BFI Scores'!E43)^2</f>
        <v>1.85640625</v>
      </c>
      <c r="Z43" s="29">
        <f>('BFI Scores'!AE43-'BFI Scores'!F43)^2</f>
        <v>6.7599999999999882E-2</v>
      </c>
      <c r="AA43" s="29">
        <f>('BFI Scores'!AF43-'BFI Scores'!B43)^2</f>
        <v>0.18705625000000009</v>
      </c>
      <c r="AB43" s="29">
        <f>('BFI Scores'!AG43-'BFI Scores'!C43)^2</f>
        <v>7.230123456790187E-2</v>
      </c>
      <c r="AC43" s="29">
        <f>('BFI Scores'!AH43-'BFI Scores'!D43)^2</f>
        <v>4.3541777777777897</v>
      </c>
      <c r="AD43" s="29">
        <f>('BFI Scores'!AI43-'BFI Scores'!E43)^2</f>
        <v>2.0306250000000001</v>
      </c>
      <c r="AE43" s="29">
        <f>('BFI Scores'!AJ43-'BFI Scores'!F43)^2</f>
        <v>5.2899999999999989E-2</v>
      </c>
      <c r="AF43" s="23">
        <f t="shared" si="6"/>
        <v>1.1381699382716013</v>
      </c>
      <c r="AG43" s="23">
        <f t="shared" si="7"/>
        <v>1.1283677932098741</v>
      </c>
      <c r="AH43" s="23">
        <f t="shared" si="8"/>
        <v>0.31635729938271628</v>
      </c>
      <c r="AI43" s="23">
        <f t="shared" si="9"/>
        <v>1.6223311419753077</v>
      </c>
      <c r="AJ43" s="30">
        <f t="shared" si="10"/>
        <v>1.524146496913579</v>
      </c>
      <c r="AK43" s="30">
        <f t="shared" si="11"/>
        <v>1.3394120524691382</v>
      </c>
    </row>
    <row r="44" spans="1:37" x14ac:dyDescent="0.2">
      <c r="A44" s="21">
        <v>46509</v>
      </c>
      <c r="B44" s="22">
        <f>('BFI Scores'!G44-'BFI Scores'!B44)^2</f>
        <v>2.5360562499999992</v>
      </c>
      <c r="C44" s="22">
        <f>('BFI Scores'!H44-'BFI Scores'!C44)^2</f>
        <v>0.57086419753087092</v>
      </c>
      <c r="D44" s="22">
        <f>('BFI Scores'!I44-'BFI Scores'!D44)^2</f>
        <v>0.60840000000000038</v>
      </c>
      <c r="E44" s="22">
        <f>('BFI Scores'!J44-'BFI Scores'!E44)^2</f>
        <v>0.2756249999999999</v>
      </c>
      <c r="F44" s="22">
        <f>('BFI Scores'!K44-'BFI Scores'!F44)^2</f>
        <v>1.4399999999999993</v>
      </c>
      <c r="G44" s="22">
        <f>('BFI Scores'!L44-'BFI Scores'!B44)^2</f>
        <v>2.4964000000000004</v>
      </c>
      <c r="H44" s="22">
        <f>('BFI Scores'!M44-'BFI Scores'!C44)^2</f>
        <v>0.81000000000000061</v>
      </c>
      <c r="I44" s="22">
        <f>('BFI Scores'!N44-'BFI Scores'!D44)^2</f>
        <v>0.7168444444444505</v>
      </c>
      <c r="J44" s="22">
        <f>('BFI Scores'!O44-'BFI Scores'!E44)^2</f>
        <v>1</v>
      </c>
      <c r="K44" s="22">
        <f>('BFI Scores'!P44-'BFI Scores'!F44)^2</f>
        <v>1.4160999999999988</v>
      </c>
      <c r="L44" s="22">
        <f>('BFI Scores'!Q44-'BFI Scores'!B44)^2</f>
        <v>0.35105624999999979</v>
      </c>
      <c r="M44" s="22">
        <f>('BFI Scores'!R44-'BFI Scores'!C44)^2</f>
        <v>0.57086419753087092</v>
      </c>
      <c r="N44" s="22">
        <f>('BFI Scores'!S44-'BFI Scores'!D44)^2</f>
        <v>1.3148444444444523</v>
      </c>
      <c r="O44" s="22">
        <f>('BFI Scores'!T44-'BFI Scores'!E44)^2</f>
        <v>0.85562500000000008</v>
      </c>
      <c r="P44" s="22">
        <f>('BFI Scores'!U44-'BFI Scores'!F44)^2</f>
        <v>1.0200999999999996</v>
      </c>
      <c r="Q44" s="22">
        <f>('BFI Scores'!V44-'BFI Scores'!B44)^2</f>
        <v>2.4180249999999992</v>
      </c>
      <c r="R44" s="22">
        <f>('BFI Scores'!W44-'BFI Scores'!C44)^2</f>
        <v>1.9290123456790158</v>
      </c>
      <c r="S44" s="22">
        <f>('BFI Scores'!X44-'BFI Scores'!D44)^2</f>
        <v>4.4193382716049312</v>
      </c>
      <c r="T44" s="22">
        <f>('BFI Scores'!Y44-'BFI Scores'!E44)^2</f>
        <v>8.7764062499999991</v>
      </c>
      <c r="U44" s="22">
        <f>('BFI Scores'!Z44-'BFI Scores'!F44)^2</f>
        <v>1.4399999999999993</v>
      </c>
      <c r="V44" s="29">
        <f>('BFI Scores'!AA44-'BFI Scores'!B44)^2</f>
        <v>1.1935562499999997</v>
      </c>
      <c r="W44" s="29">
        <f>('BFI Scores'!AB44-'BFI Scores'!C44)^2</f>
        <v>0.57086419753087092</v>
      </c>
      <c r="X44" s="29">
        <f>('BFI Scores'!AC44-'BFI Scores'!D44)^2</f>
        <v>0.60840000000000038</v>
      </c>
      <c r="Y44" s="29">
        <f>('BFI Scores'!AD44-'BFI Scores'!E44)^2</f>
        <v>0.765625</v>
      </c>
      <c r="Z44" s="29">
        <f>('BFI Scores'!AE44-'BFI Scores'!F44)^2</f>
        <v>1.1448999999999996</v>
      </c>
      <c r="AA44" s="29">
        <f>('BFI Scores'!AF44-'BFI Scores'!B44)^2</f>
        <v>0.35105624999999979</v>
      </c>
      <c r="AB44" s="29">
        <f>('BFI Scores'!AG44-'BFI Scores'!C44)^2</f>
        <v>1.0677777777777711</v>
      </c>
      <c r="AC44" s="29">
        <f>('BFI Scores'!AH44-'BFI Scores'!D44)^2</f>
        <v>2.1251160493827226</v>
      </c>
      <c r="AD44" s="29">
        <f>('BFI Scores'!AI44-'BFI Scores'!E44)^2</f>
        <v>0.95062500000000016</v>
      </c>
      <c r="AE44" s="29">
        <f>('BFI Scores'!AJ44-'BFI Scores'!F44)^2</f>
        <v>1.5875999999999995</v>
      </c>
      <c r="AF44" s="23">
        <f t="shared" si="6"/>
        <v>1.0861890895061739</v>
      </c>
      <c r="AG44" s="23">
        <f t="shared" si="7"/>
        <v>1.2878688888888898</v>
      </c>
      <c r="AH44" s="23">
        <f t="shared" si="8"/>
        <v>0.82249797839506444</v>
      </c>
      <c r="AI44" s="23">
        <f t="shared" si="9"/>
        <v>3.796556373456788</v>
      </c>
      <c r="AJ44" s="30">
        <f t="shared" si="10"/>
        <v>0.85666908950617415</v>
      </c>
      <c r="AK44" s="30">
        <f t="shared" si="11"/>
        <v>1.2164350154320986</v>
      </c>
    </row>
    <row r="45" spans="1:37" x14ac:dyDescent="0.2">
      <c r="A45" s="21">
        <v>46711</v>
      </c>
      <c r="B45" s="22">
        <f>('BFI Scores'!G45-'BFI Scores'!B45)^2</f>
        <v>0.42249999999999988</v>
      </c>
      <c r="C45" s="22">
        <f>('BFI Scores'!H45-'BFI Scores'!C45)^2</f>
        <v>2.0928444444444536</v>
      </c>
      <c r="D45" s="22">
        <f>('BFI Scores'!I45-'BFI Scores'!D45)^2</f>
        <v>5.2390123456790644E-2</v>
      </c>
      <c r="E45" s="22">
        <f>('BFI Scores'!J45-'BFI Scores'!E45)^2</f>
        <v>0.64000000000000012</v>
      </c>
      <c r="F45" s="22">
        <f>('BFI Scores'!K45-'BFI Scores'!F45)^2</f>
        <v>1.0201000000000005</v>
      </c>
      <c r="G45" s="22">
        <f>('BFI Scores'!L45-'BFI Scores'!B45)^2</f>
        <v>0.50765624999999992</v>
      </c>
      <c r="H45" s="22">
        <f>('BFI Scores'!M45-'BFI Scores'!C45)^2</f>
        <v>9.679012345678446E-4</v>
      </c>
      <c r="I45" s="22">
        <f>('BFI Scores'!N45-'BFI Scores'!D45)^2</f>
        <v>0.15646419753086815</v>
      </c>
      <c r="J45" s="22">
        <f>('BFI Scores'!O45-'BFI Scores'!E45)^2</f>
        <v>0.62015625000000019</v>
      </c>
      <c r="K45" s="22">
        <f>('BFI Scores'!P45-'BFI Scores'!F45)^2</f>
        <v>1.1236000000000002</v>
      </c>
      <c r="L45" s="22">
        <f>('BFI Scores'!Q45-'BFI Scores'!B45)^2</f>
        <v>3.2399999999999993</v>
      </c>
      <c r="M45" s="22">
        <f>('BFI Scores'!R45-'BFI Scores'!C45)^2</f>
        <v>0.59119012345679123</v>
      </c>
      <c r="N45" s="22">
        <f>('BFI Scores'!S45-'BFI Scores'!D45)^2</f>
        <v>5.0567901234566028E-3</v>
      </c>
      <c r="O45" s="22">
        <f>('BFI Scores'!T45-'BFI Scores'!E45)^2</f>
        <v>0.47265625</v>
      </c>
      <c r="P45" s="22">
        <f>('BFI Scores'!U45-'BFI Scores'!F45)^2</f>
        <v>6.4000000000000116E-3</v>
      </c>
      <c r="Q45" s="22">
        <f>('BFI Scores'!V45-'BFI Scores'!B45)^2</f>
        <v>6.56640625</v>
      </c>
      <c r="R45" s="22">
        <f>('BFI Scores'!W45-'BFI Scores'!C45)^2</f>
        <v>0.33639999999999959</v>
      </c>
      <c r="S45" s="22">
        <f>('BFI Scores'!X45-'BFI Scores'!D45)^2</f>
        <v>0.23468641975309223</v>
      </c>
      <c r="T45" s="22">
        <f>('BFI Scores'!Y45-'BFI Scores'!E45)^2</f>
        <v>1.72265625</v>
      </c>
      <c r="U45" s="22">
        <f>('BFI Scores'!Z45-'BFI Scores'!F45)^2</f>
        <v>3.2400000000000061E-2</v>
      </c>
      <c r="V45" s="29">
        <f>('BFI Scores'!AA45-'BFI Scores'!B45)^2</f>
        <v>1.2939062500000005</v>
      </c>
      <c r="W45" s="29">
        <f>('BFI Scores'!AB45-'BFI Scores'!C45)^2</f>
        <v>1.8738567901234591</v>
      </c>
      <c r="X45" s="29">
        <f>('BFI Scores'!AC45-'BFI Scores'!D45)^2</f>
        <v>0.19360000000000036</v>
      </c>
      <c r="Y45" s="29">
        <f>('BFI Scores'!AD45-'BFI Scores'!E45)^2</f>
        <v>0.97515625000000006</v>
      </c>
      <c r="Z45" s="29">
        <f>('BFI Scores'!AE45-'BFI Scores'!F45)^2</f>
        <v>0.3249000000000003</v>
      </c>
      <c r="AA45" s="29">
        <f>('BFI Scores'!AF45-'BFI Scores'!B45)^2</f>
        <v>2.640625</v>
      </c>
      <c r="AB45" s="29">
        <f>('BFI Scores'!AG45-'BFI Scores'!C45)^2</f>
        <v>7.9012345679037053E-5</v>
      </c>
      <c r="AC45" s="29">
        <f>('BFI Scores'!AH45-'BFI Scores'!D45)^2</f>
        <v>0.22404444444444177</v>
      </c>
      <c r="AD45" s="29">
        <f>('BFI Scores'!AI45-'BFI Scores'!E45)^2</f>
        <v>0.31640625</v>
      </c>
      <c r="AE45" s="29">
        <f>('BFI Scores'!AJ45-'BFI Scores'!F45)^2</f>
        <v>0.79210000000000025</v>
      </c>
      <c r="AF45" s="23">
        <f t="shared" si="6"/>
        <v>0.84556691358024894</v>
      </c>
      <c r="AG45" s="23">
        <f t="shared" si="7"/>
        <v>0.48176891975308722</v>
      </c>
      <c r="AH45" s="23">
        <f t="shared" si="8"/>
        <v>0.86306063271604949</v>
      </c>
      <c r="AI45" s="23">
        <f t="shared" si="9"/>
        <v>1.7785097839506185</v>
      </c>
      <c r="AJ45" s="30">
        <f t="shared" si="10"/>
        <v>0.93228385802469216</v>
      </c>
      <c r="AK45" s="30">
        <f t="shared" si="11"/>
        <v>0.79465094135802428</v>
      </c>
    </row>
    <row r="46" spans="1:37" x14ac:dyDescent="0.2">
      <c r="A46" s="21">
        <v>46796</v>
      </c>
      <c r="B46" s="22">
        <f>('BFI Scores'!G46-'BFI Scores'!B46)^2</f>
        <v>1.2488062499999995</v>
      </c>
      <c r="C46" s="22">
        <f>('BFI Scores'!H46-'BFI Scores'!C46)^2</f>
        <v>8.3012345679010779E-3</v>
      </c>
      <c r="D46" s="22">
        <f>('BFI Scores'!I46-'BFI Scores'!D46)^2</f>
        <v>0.27387777777778483</v>
      </c>
      <c r="E46" s="22">
        <f>('BFI Scores'!J46-'BFI Scores'!E46)^2</f>
        <v>0.140625</v>
      </c>
      <c r="F46" s="22">
        <f>('BFI Scores'!K46-'BFI Scores'!F46)^2</f>
        <v>0.10240000000000019</v>
      </c>
      <c r="G46" s="22">
        <f>('BFI Scores'!L46-'BFI Scores'!B46)^2</f>
        <v>0.30802499999999966</v>
      </c>
      <c r="H46" s="22">
        <f>('BFI Scores'!M46-'BFI Scores'!C46)^2</f>
        <v>0.47151111111111521</v>
      </c>
      <c r="I46" s="22">
        <f>('BFI Scores'!N46-'BFI Scores'!D46)^2</f>
        <v>0.30740864197530382</v>
      </c>
      <c r="J46" s="22">
        <f>('BFI Scores'!O46-'BFI Scores'!E46)^2</f>
        <v>1.5624999999999889E-4</v>
      </c>
      <c r="K46" s="22">
        <f>('BFI Scores'!P46-'BFI Scores'!F46)^2</f>
        <v>0.40960000000000019</v>
      </c>
      <c r="L46" s="22">
        <f>('BFI Scores'!Q46-'BFI Scores'!B46)^2</f>
        <v>0.15405625000000006</v>
      </c>
      <c r="M46" s="22">
        <f>('BFI Scores'!R46-'BFI Scores'!C46)^2</f>
        <v>2.8444444444451441E-3</v>
      </c>
      <c r="N46" s="22">
        <f>('BFI Scores'!S46-'BFI Scores'!D46)^2</f>
        <v>9.9999999999995736E-5</v>
      </c>
      <c r="O46" s="22">
        <f>('BFI Scores'!T46-'BFI Scores'!E46)^2</f>
        <v>0.25</v>
      </c>
      <c r="P46" s="22">
        <f>('BFI Scores'!U46-'BFI Scores'!F46)^2</f>
        <v>3.9999999999998294E-4</v>
      </c>
      <c r="Q46" s="22">
        <f>('BFI Scores'!V46-'BFI Scores'!B46)^2</f>
        <v>6.630625000000015E-2</v>
      </c>
      <c r="R46" s="22">
        <f>('BFI Scores'!W46-'BFI Scores'!C46)^2</f>
        <v>2.3443012345678973</v>
      </c>
      <c r="S46" s="22">
        <f>('BFI Scores'!X46-'BFI Scores'!D46)^2</f>
        <v>0.91096419753087432</v>
      </c>
      <c r="T46" s="22">
        <f>('BFI Scores'!Y46-'BFI Scores'!E46)^2</f>
        <v>0.58140625000000024</v>
      </c>
      <c r="U46" s="22">
        <f>('BFI Scores'!Z46-'BFI Scores'!F46)^2</f>
        <v>1.904400000000001</v>
      </c>
      <c r="V46" s="29">
        <f>('BFI Scores'!AA46-'BFI Scores'!B46)^2</f>
        <v>0.49702500000000011</v>
      </c>
      <c r="W46" s="29">
        <f>('BFI Scores'!AB46-'BFI Scores'!C46)^2</f>
        <v>2.1511111111109239E-2</v>
      </c>
      <c r="X46" s="29">
        <f>('BFI Scores'!AC46-'BFI Scores'!D46)^2</f>
        <v>6.0297530864194787E-2</v>
      </c>
      <c r="Y46" s="29">
        <f>('BFI Scores'!AD46-'BFI Scores'!E46)^2</f>
        <v>0.12250000000000007</v>
      </c>
      <c r="Z46" s="29">
        <f>('BFI Scores'!AE46-'BFI Scores'!F46)^2</f>
        <v>0.10890000000000005</v>
      </c>
      <c r="AA46" s="29">
        <f>('BFI Scores'!AF46-'BFI Scores'!B46)^2</f>
        <v>0.3249000000000003</v>
      </c>
      <c r="AB46" s="29">
        <f>('BFI Scores'!AG46-'BFI Scores'!C46)^2</f>
        <v>0.78617777777778342</v>
      </c>
      <c r="AC46" s="29">
        <f>('BFI Scores'!AH46-'BFI Scores'!D46)^2</f>
        <v>0.93229753086420597</v>
      </c>
      <c r="AD46" s="29">
        <f>('BFI Scores'!AI46-'BFI Scores'!E46)^2</f>
        <v>3.999999999999998E-2</v>
      </c>
      <c r="AE46" s="29">
        <f>('BFI Scores'!AJ46-'BFI Scores'!F46)^2</f>
        <v>0.43560000000000021</v>
      </c>
      <c r="AF46" s="23">
        <f t="shared" si="6"/>
        <v>0.3548020524691371</v>
      </c>
      <c r="AG46" s="23">
        <f t="shared" si="7"/>
        <v>0.29934020061728378</v>
      </c>
      <c r="AH46" s="23">
        <f t="shared" si="8"/>
        <v>8.1480138888889025E-2</v>
      </c>
      <c r="AI46" s="23">
        <f t="shared" si="9"/>
        <v>1.1614755864197546</v>
      </c>
      <c r="AJ46" s="30">
        <f t="shared" si="10"/>
        <v>0.16204672839506085</v>
      </c>
      <c r="AK46" s="30">
        <f t="shared" si="11"/>
        <v>0.50379506172839805</v>
      </c>
    </row>
    <row r="47" spans="1:37" x14ac:dyDescent="0.2">
      <c r="A47" s="21">
        <v>47804</v>
      </c>
      <c r="B47" s="22">
        <f>('BFI Scores'!G47-'BFI Scores'!B47)^2</f>
        <v>1.6899999999999971E-2</v>
      </c>
      <c r="C47" s="22">
        <f>('BFI Scores'!H47-'BFI Scores'!C47)^2</f>
        <v>0.14187777777777297</v>
      </c>
      <c r="D47" s="22">
        <f>('BFI Scores'!I47-'BFI Scores'!D47)^2</f>
        <v>1.4694827160493771</v>
      </c>
      <c r="E47" s="22">
        <f>('BFI Scores'!J47-'BFI Scores'!E47)^2</f>
        <v>0.97515624999999961</v>
      </c>
      <c r="F47" s="22">
        <f>('BFI Scores'!K47-'BFI Scores'!F47)^2</f>
        <v>0.1155999999999999</v>
      </c>
      <c r="G47" s="22">
        <f>('BFI Scores'!L47-'BFI Scores'!B47)^2</f>
        <v>6.0025000000000051E-2</v>
      </c>
      <c r="H47" s="22">
        <f>('BFI Scores'!M47-'BFI Scores'!C47)^2</f>
        <v>0.12563086419752764</v>
      </c>
      <c r="I47" s="22">
        <f>('BFI Scores'!N47-'BFI Scores'!D47)^2</f>
        <v>0.2856308641975262</v>
      </c>
      <c r="J47" s="22">
        <f>('BFI Scores'!O47-'BFI Scores'!E47)^2</f>
        <v>3.4689062500000003</v>
      </c>
      <c r="K47" s="22">
        <f>('BFI Scores'!P47-'BFI Scores'!F47)^2</f>
        <v>1.0000000000000018E-2</v>
      </c>
      <c r="L47" s="22">
        <f>('BFI Scores'!Q47-'BFI Scores'!B47)^2</f>
        <v>1.4884000000000004</v>
      </c>
      <c r="M47" s="22">
        <f>('BFI Scores'!R47-'BFI Scores'!C47)^2</f>
        <v>0.17733456790123353</v>
      </c>
      <c r="N47" s="22">
        <f>('BFI Scores'!S47-'BFI Scores'!D47)^2</f>
        <v>1.5238530864197417</v>
      </c>
      <c r="O47" s="22">
        <f>('BFI Scores'!T47-'BFI Scores'!E47)^2</f>
        <v>0.45562499999999978</v>
      </c>
      <c r="P47" s="22">
        <f>('BFI Scores'!U47-'BFI Scores'!F47)^2</f>
        <v>3.6000000000000064E-3</v>
      </c>
      <c r="Q47" s="22">
        <f>('BFI Scores'!V47-'BFI Scores'!B47)^2</f>
        <v>2.7473062500000007</v>
      </c>
      <c r="R47" s="22">
        <f>('BFI Scores'!W47-'BFI Scores'!C47)^2</f>
        <v>0.19654444444444172</v>
      </c>
      <c r="S47" s="22">
        <f>('BFI Scores'!X47-'BFI Scores'!D47)^2</f>
        <v>2.2533345679012298</v>
      </c>
      <c r="T47" s="22">
        <f>('BFI Scores'!Y47-'BFI Scores'!E47)^2</f>
        <v>3.3306249999999999</v>
      </c>
      <c r="U47" s="22">
        <f>('BFI Scores'!Z47-'BFI Scores'!F47)^2</f>
        <v>1.6000000000000029E-3</v>
      </c>
      <c r="V47" s="29">
        <f>('BFI Scores'!AA47-'BFI Scores'!B47)^2</f>
        <v>4.9000000000000397E-3</v>
      </c>
      <c r="W47" s="29">
        <f>('BFI Scores'!AB47-'BFI Scores'!C47)^2</f>
        <v>0.29521111111110737</v>
      </c>
      <c r="X47" s="29">
        <f>('BFI Scores'!AC47-'BFI Scores'!D47)^2</f>
        <v>3.0082975308641813</v>
      </c>
      <c r="Y47" s="29">
        <f>('BFI Scores'!AD47-'BFI Scores'!E47)^2</f>
        <v>0.3600000000000001</v>
      </c>
      <c r="Z47" s="29">
        <f>('BFI Scores'!AE47-'BFI Scores'!F47)^2</f>
        <v>4.8399999999999888E-2</v>
      </c>
      <c r="AA47" s="29">
        <f>('BFI Scores'!AF47-'BFI Scores'!B47)^2</f>
        <v>0.69305625000000004</v>
      </c>
      <c r="AB47" s="29">
        <f>('BFI Scores'!AG47-'BFI Scores'!C47)^2</f>
        <v>0.30740864197530382</v>
      </c>
      <c r="AC47" s="29">
        <f>('BFI Scores'!AH47-'BFI Scores'!D47)^2</f>
        <v>0.77244567901234673</v>
      </c>
      <c r="AD47" s="29">
        <f>('BFI Scores'!AI47-'BFI Scores'!E47)^2</f>
        <v>3.0625</v>
      </c>
      <c r="AE47" s="29">
        <f>('BFI Scores'!AJ47-'BFI Scores'!F47)^2</f>
        <v>1.6899999999999971E-2</v>
      </c>
      <c r="AF47" s="23">
        <f t="shared" si="6"/>
        <v>0.54380334876542991</v>
      </c>
      <c r="AG47" s="23">
        <f t="shared" si="7"/>
        <v>0.79003859567901091</v>
      </c>
      <c r="AH47" s="23">
        <f t="shared" si="8"/>
        <v>0.72976253086419507</v>
      </c>
      <c r="AI47" s="23">
        <f t="shared" si="9"/>
        <v>1.7058820524691343</v>
      </c>
      <c r="AJ47" s="30">
        <f t="shared" si="10"/>
        <v>0.74336172839505765</v>
      </c>
      <c r="AK47" s="30">
        <f t="shared" si="11"/>
        <v>0.97046211419753003</v>
      </c>
    </row>
    <row r="48" spans="1:37" x14ac:dyDescent="0.2">
      <c r="A48" s="21">
        <v>48354</v>
      </c>
      <c r="B48" s="22">
        <f>('BFI Scores'!G48-'BFI Scores'!B48)^2</f>
        <v>0.7014062499999999</v>
      </c>
      <c r="C48" s="22">
        <f>('BFI Scores'!H48-'BFI Scores'!C48)^2</f>
        <v>0.38440000000000069</v>
      </c>
      <c r="D48" s="22">
        <f>('BFI Scores'!I48-'BFI Scores'!D48)^2</f>
        <v>0.87111111111110495</v>
      </c>
      <c r="E48" s="22">
        <f>('BFI Scores'!J48-'BFI Scores'!E48)^2</f>
        <v>6.5024999999999944E-2</v>
      </c>
      <c r="F48" s="22">
        <f>('BFI Scores'!K48-'BFI Scores'!F48)^2</f>
        <v>0.54760000000000031</v>
      </c>
      <c r="G48" s="22">
        <f>('BFI Scores'!L48-'BFI Scores'!B48)^2</f>
        <v>0.18062499999999984</v>
      </c>
      <c r="H48" s="22">
        <f>('BFI Scores'!M48-'BFI Scores'!C48)^2</f>
        <v>0.27040000000000003</v>
      </c>
      <c r="I48" s="22">
        <f>('BFI Scores'!N48-'BFI Scores'!D48)^2</f>
        <v>3.5679012345679433E-2</v>
      </c>
      <c r="J48" s="22">
        <f>('BFI Scores'!O48-'BFI Scores'!E48)^2</f>
        <v>2.0249999999999938E-3</v>
      </c>
      <c r="K48" s="22">
        <f>('BFI Scores'!P48-'BFI Scores'!F48)^2</f>
        <v>1.9881000000000004</v>
      </c>
      <c r="L48" s="22">
        <f>('BFI Scores'!Q48-'BFI Scores'!B48)^2</f>
        <v>5.0625000000000038E-2</v>
      </c>
      <c r="M48" s="22">
        <f>('BFI Scores'!R48-'BFI Scores'!C48)^2</f>
        <v>0.11711604938271467</v>
      </c>
      <c r="N48" s="22">
        <f>('BFI Scores'!S48-'BFI Scores'!D48)^2</f>
        <v>0.38716049382715773</v>
      </c>
      <c r="O48" s="22">
        <f>('BFI Scores'!T48-'BFI Scores'!E48)^2</f>
        <v>5.4056249999999965E-2</v>
      </c>
      <c r="P48" s="22">
        <f>('BFI Scores'!U48-'BFI Scores'!F48)^2</f>
        <v>0.47609999999999991</v>
      </c>
      <c r="Q48" s="22">
        <f>('BFI Scores'!V48-'BFI Scores'!B48)^2</f>
        <v>0.43890625000000011</v>
      </c>
      <c r="R48" s="22">
        <f>('BFI Scores'!W48-'BFI Scores'!C48)^2</f>
        <v>9.1338271604936766E-2</v>
      </c>
      <c r="S48" s="22">
        <f>('BFI Scores'!X48-'BFI Scores'!D48)^2</f>
        <v>1.7777777777776942E-2</v>
      </c>
      <c r="T48" s="22">
        <f>('BFI Scores'!Y48-'BFI Scores'!E48)^2</f>
        <v>3.8025000000000114E-2</v>
      </c>
      <c r="U48" s="22">
        <f>('BFI Scores'!Z48-'BFI Scores'!F48)^2</f>
        <v>2.1025000000000005</v>
      </c>
      <c r="V48" s="29">
        <f>('BFI Scores'!AA48-'BFI Scores'!B48)^2</f>
        <v>0.45562499999999978</v>
      </c>
      <c r="W48" s="29">
        <f>('BFI Scores'!AB48-'BFI Scores'!C48)^2</f>
        <v>0.28207901234567806</v>
      </c>
      <c r="X48" s="29">
        <f>('BFI Scores'!AC48-'BFI Scores'!D48)^2</f>
        <v>0.30864197530864668</v>
      </c>
      <c r="Y48" s="29">
        <f>('BFI Scores'!AD48-'BFI Scores'!E48)^2</f>
        <v>7.8399999999999886E-2</v>
      </c>
      <c r="Z48" s="29">
        <f>('BFI Scores'!AE48-'BFI Scores'!F48)^2</f>
        <v>0.5625</v>
      </c>
      <c r="AA48" s="29">
        <f>('BFI Scores'!AF48-'BFI Scores'!B48)^2</f>
        <v>0.140625</v>
      </c>
      <c r="AB48" s="29">
        <f>('BFI Scores'!AG48-'BFI Scores'!C48)^2</f>
        <v>0.14951111111111356</v>
      </c>
      <c r="AC48" s="29">
        <f>('BFI Scores'!AH48-'BFI Scores'!D48)^2</f>
        <v>1.2345679012345394E-2</v>
      </c>
      <c r="AD48" s="29">
        <f>('BFI Scores'!AI48-'BFI Scores'!E48)^2</f>
        <v>6.8062500000000033E-3</v>
      </c>
      <c r="AE48" s="29">
        <f>('BFI Scores'!AJ48-'BFI Scores'!F48)^2</f>
        <v>2.0164</v>
      </c>
      <c r="AF48" s="23">
        <f t="shared" si="6"/>
        <v>0.51390847222222114</v>
      </c>
      <c r="AG48" s="23">
        <f t="shared" si="7"/>
        <v>0.49536580246913592</v>
      </c>
      <c r="AH48" s="23">
        <f t="shared" si="8"/>
        <v>0.21701155864197444</v>
      </c>
      <c r="AI48" s="23">
        <f t="shared" si="9"/>
        <v>0.53770945987654284</v>
      </c>
      <c r="AJ48" s="30">
        <f t="shared" si="10"/>
        <v>0.33744919753086489</v>
      </c>
      <c r="AK48" s="30">
        <f t="shared" si="11"/>
        <v>0.46513760802469173</v>
      </c>
    </row>
    <row r="49" spans="1:37" x14ac:dyDescent="0.2">
      <c r="A49" s="21">
        <v>49061</v>
      </c>
      <c r="B49" s="22">
        <f>('BFI Scores'!G49-'BFI Scores'!B49)^2</f>
        <v>2.0306250000000019E-2</v>
      </c>
      <c r="C49" s="22">
        <f>('BFI Scores'!H49-'BFI Scores'!C49)^2</f>
        <v>0.53777777777778768</v>
      </c>
      <c r="D49" s="22">
        <f>('BFI Scores'!I49-'BFI Scores'!D49)^2</f>
        <v>0.44741234567901439</v>
      </c>
      <c r="E49" s="22">
        <f>('BFI Scores'!J49-'BFI Scores'!E49)^2</f>
        <v>1.1556250000000003</v>
      </c>
      <c r="F49" s="22">
        <f>('BFI Scores'!K49-'BFI Scores'!F49)^2</f>
        <v>0.1155999999999999</v>
      </c>
      <c r="G49" s="22">
        <f>('BFI Scores'!L49-'BFI Scores'!B49)^2</f>
        <v>0.55130624999999955</v>
      </c>
      <c r="H49" s="22">
        <f>('BFI Scores'!M49-'BFI Scores'!C49)^2</f>
        <v>0.20753086419752576</v>
      </c>
      <c r="I49" s="22">
        <f>('BFI Scores'!N49-'BFI Scores'!D49)^2</f>
        <v>5.1478567901234618</v>
      </c>
      <c r="J49" s="22">
        <f>('BFI Scores'!O49-'BFI Scores'!E49)^2</f>
        <v>3.3306250000000008</v>
      </c>
      <c r="K49" s="22">
        <f>('BFI Scores'!P49-'BFI Scores'!F49)^2</f>
        <v>9.9999999999995736E-5</v>
      </c>
      <c r="L49" s="22">
        <f>('BFI Scores'!Q49-'BFI Scores'!B49)^2</f>
        <v>2.8056249999999994E-2</v>
      </c>
      <c r="M49" s="22">
        <f>('BFI Scores'!R49-'BFI Scores'!C49)^2</f>
        <v>0.87111111111110495</v>
      </c>
      <c r="N49" s="22">
        <f>('BFI Scores'!S49-'BFI Scores'!D49)^2</f>
        <v>2.6388197530864064</v>
      </c>
      <c r="O49" s="22">
        <f>('BFI Scores'!T49-'BFI Scores'!E49)^2</f>
        <v>0.58140625000000024</v>
      </c>
      <c r="P49" s="22">
        <f>('BFI Scores'!U49-'BFI Scores'!F49)^2</f>
        <v>6.25E-2</v>
      </c>
      <c r="Q49" s="22">
        <f>('BFI Scores'!V49-'BFI Scores'!B49)^2</f>
        <v>2.0306250000000019E-2</v>
      </c>
      <c r="R49" s="22">
        <f>('BFI Scores'!W49-'BFI Scores'!C49)^2</f>
        <v>2.25</v>
      </c>
      <c r="S49" s="22">
        <f>('BFI Scores'!X49-'BFI Scores'!D49)^2</f>
        <v>2.6028444444444343</v>
      </c>
      <c r="T49" s="22">
        <f>('BFI Scores'!Y49-'BFI Scores'!E49)^2</f>
        <v>6.0025000000000013</v>
      </c>
      <c r="U49" s="22">
        <f>('BFI Scores'!Z49-'BFI Scores'!F49)^2</f>
        <v>0.75690000000000091</v>
      </c>
      <c r="V49" s="29">
        <f>('BFI Scores'!AA49-'BFI Scores'!B49)^2</f>
        <v>1.3806249999999933E-2</v>
      </c>
      <c r="W49" s="29">
        <f>('BFI Scores'!AB49-'BFI Scores'!C49)^2</f>
        <v>0.52160493827160193</v>
      </c>
      <c r="X49" s="29">
        <f>('BFI Scores'!AC49-'BFI Scores'!D49)^2</f>
        <v>0.98230123456789931</v>
      </c>
      <c r="Y49" s="29">
        <f>('BFI Scores'!AD49-'BFI Scores'!E49)^2</f>
        <v>1.3224999999999998</v>
      </c>
      <c r="Z49" s="29">
        <f>('BFI Scores'!AE49-'BFI Scores'!F49)^2</f>
        <v>0.15209999999999976</v>
      </c>
      <c r="AA49" s="29">
        <f>('BFI Scores'!AF49-'BFI Scores'!B49)^2</f>
        <v>0.16402499999999984</v>
      </c>
      <c r="AB49" s="29">
        <f>('BFI Scores'!AG49-'BFI Scores'!C49)^2</f>
        <v>0.25</v>
      </c>
      <c r="AC49" s="29">
        <f>('BFI Scores'!AH49-'BFI Scores'!D49)^2</f>
        <v>6.5991901234567978</v>
      </c>
      <c r="AD49" s="29">
        <f>('BFI Scores'!AI49-'BFI Scores'!E49)^2</f>
        <v>5.0064062499999995</v>
      </c>
      <c r="AE49" s="29">
        <f>('BFI Scores'!AJ49-'BFI Scores'!F49)^2</f>
        <v>2.5000000000000712E-3</v>
      </c>
      <c r="AF49" s="23">
        <f t="shared" si="6"/>
        <v>0.45534427469136041</v>
      </c>
      <c r="AG49" s="23">
        <f t="shared" si="7"/>
        <v>1.8474837808641975</v>
      </c>
      <c r="AH49" s="23">
        <f t="shared" si="8"/>
        <v>0.8363786728395024</v>
      </c>
      <c r="AI49" s="23">
        <f t="shared" si="9"/>
        <v>2.3265101388888874</v>
      </c>
      <c r="AJ49" s="30">
        <f t="shared" si="10"/>
        <v>0.59846248456790019</v>
      </c>
      <c r="AK49" s="30">
        <f t="shared" si="11"/>
        <v>2.4044242746913591</v>
      </c>
    </row>
    <row r="50" spans="1:37" x14ac:dyDescent="0.2">
      <c r="A50" s="21">
        <v>49157</v>
      </c>
      <c r="B50" s="22">
        <f>('BFI Scores'!G50-'BFI Scores'!B50)^2</f>
        <v>1</v>
      </c>
      <c r="C50" s="22">
        <f>('BFI Scores'!H50-'BFI Scores'!C50)^2</f>
        <v>0.48689382716049667</v>
      </c>
      <c r="D50" s="22">
        <f>('BFI Scores'!I50-'BFI Scores'!D50)^2</f>
        <v>0.85254444444443789</v>
      </c>
      <c r="E50" s="22">
        <f>('BFI Scores'!J50-'BFI Scores'!E50)^2</f>
        <v>0.25</v>
      </c>
      <c r="F50" s="22">
        <f>('BFI Scores'!K50-'BFI Scores'!F50)^2</f>
        <v>1.1664000000000001</v>
      </c>
      <c r="G50" s="22">
        <f>('BFI Scores'!L50-'BFI Scores'!B50)^2</f>
        <v>0.83265625000000021</v>
      </c>
      <c r="H50" s="22">
        <f>('BFI Scores'!M50-'BFI Scores'!C50)^2</f>
        <v>0.14104197530863771</v>
      </c>
      <c r="I50" s="22">
        <f>('BFI Scores'!N50-'BFI Scores'!D50)^2</f>
        <v>8.0999999999999753E-3</v>
      </c>
      <c r="J50" s="22">
        <f>('BFI Scores'!O50-'BFI Scores'!E50)^2</f>
        <v>0.25</v>
      </c>
      <c r="K50" s="22">
        <f>('BFI Scores'!P50-'BFI Scores'!F50)^2</f>
        <v>1.2100000000000002</v>
      </c>
      <c r="L50" s="22">
        <f>('BFI Scores'!Q50-'BFI Scores'!B50)^2</f>
        <v>2.4999999999999823E-3</v>
      </c>
      <c r="M50" s="22">
        <f>('BFI Scores'!R50-'BFI Scores'!C50)^2</f>
        <v>0.38439999999999958</v>
      </c>
      <c r="N50" s="22">
        <f>('BFI Scores'!S50-'BFI Scores'!D50)^2</f>
        <v>2.4232111111111205</v>
      </c>
      <c r="O50" s="22">
        <f>('BFI Scores'!T50-'BFI Scores'!E50)^2</f>
        <v>0.390625</v>
      </c>
      <c r="P50" s="22">
        <f>('BFI Scores'!U50-'BFI Scores'!F50)^2</f>
        <v>1</v>
      </c>
      <c r="Q50" s="22">
        <f>('BFI Scores'!V50-'BFI Scores'!B50)^2</f>
        <v>1.5625000000000445E-4</v>
      </c>
      <c r="R50" s="22">
        <f>('BFI Scores'!W50-'BFI Scores'!C50)^2</f>
        <v>0.65430123456790246</v>
      </c>
      <c r="S50" s="22">
        <f>('BFI Scores'!X50-'BFI Scores'!D50)^2</f>
        <v>4.7475567901234603</v>
      </c>
      <c r="T50" s="22">
        <f>('BFI Scores'!Y50-'BFI Scores'!E50)^2</f>
        <v>0.140625</v>
      </c>
      <c r="U50" s="22">
        <f>('BFI Scores'!Z50-'BFI Scores'!F50)^2</f>
        <v>0.9025000000000003</v>
      </c>
      <c r="V50" s="29">
        <f>('BFI Scores'!AA50-'BFI Scores'!B50)^2</f>
        <v>0.78765625000000028</v>
      </c>
      <c r="W50" s="29">
        <f>('BFI Scores'!AB50-'BFI Scores'!C50)^2</f>
        <v>0.60148641975309258</v>
      </c>
      <c r="X50" s="29">
        <f>('BFI Scores'!AC50-'BFI Scores'!D50)^2</f>
        <v>0.58948271604938562</v>
      </c>
      <c r="Y50" s="29">
        <f>('BFI Scores'!AD50-'BFI Scores'!E50)^2</f>
        <v>0.25</v>
      </c>
      <c r="Z50" s="29">
        <f>('BFI Scores'!AE50-'BFI Scores'!F50)^2</f>
        <v>1.0816000000000001</v>
      </c>
      <c r="AA50" s="29">
        <f>('BFI Scores'!AF50-'BFI Scores'!B50)^2</f>
        <v>0.21390624999999991</v>
      </c>
      <c r="AB50" s="29">
        <f>('BFI Scores'!AG50-'BFI Scores'!C50)^2</f>
        <v>0.8260790123456806</v>
      </c>
      <c r="AC50" s="29">
        <f>('BFI Scores'!AH50-'BFI Scores'!D50)^2</f>
        <v>0.73387777777778351</v>
      </c>
      <c r="AD50" s="29">
        <f>('BFI Scores'!AI50-'BFI Scores'!E50)^2</f>
        <v>2.2499999999999975E-2</v>
      </c>
      <c r="AE50" s="29">
        <f>('BFI Scores'!AJ50-'BFI Scores'!F50)^2</f>
        <v>1.2100000000000002</v>
      </c>
      <c r="AF50" s="23">
        <f t="shared" si="6"/>
        <v>0.75116765432098698</v>
      </c>
      <c r="AG50" s="23">
        <f t="shared" si="7"/>
        <v>0.48835964506172758</v>
      </c>
      <c r="AH50" s="23">
        <f t="shared" si="8"/>
        <v>0.84014722222222404</v>
      </c>
      <c r="AI50" s="23">
        <f t="shared" si="9"/>
        <v>1.2890278549382725</v>
      </c>
      <c r="AJ50" s="30">
        <f t="shared" si="10"/>
        <v>0.66204507716049577</v>
      </c>
      <c r="AK50" s="30">
        <f t="shared" si="11"/>
        <v>0.60127260802469285</v>
      </c>
    </row>
    <row r="51" spans="1:37" x14ac:dyDescent="0.2">
      <c r="A51" s="21">
        <v>50862</v>
      </c>
      <c r="B51" s="22">
        <f>('BFI Scores'!G51-'BFI Scores'!B51)^2</f>
        <v>0.57380625000000041</v>
      </c>
      <c r="C51" s="22">
        <f>('BFI Scores'!H51-'BFI Scores'!C51)^2</f>
        <v>9.1308641975318509E-3</v>
      </c>
      <c r="D51" s="22">
        <f>('BFI Scores'!I51-'BFI Scores'!D51)^2</f>
        <v>5.8671604938270373E-2</v>
      </c>
      <c r="E51" s="22">
        <f>('BFI Scores'!J51-'BFI Scores'!E51)^2</f>
        <v>9.4556250000000064E-2</v>
      </c>
      <c r="F51" s="22">
        <f>('BFI Scores'!K51-'BFI Scores'!F51)^2</f>
        <v>1.1449000000000007</v>
      </c>
      <c r="G51" s="22">
        <f>('BFI Scores'!L51-'BFI Scores'!B51)^2</f>
        <v>0.38440000000000013</v>
      </c>
      <c r="H51" s="22">
        <f>('BFI Scores'!M51-'BFI Scores'!C51)^2</f>
        <v>1.3353086419753976E-2</v>
      </c>
      <c r="I51" s="22">
        <f>('BFI Scores'!N51-'BFI Scores'!D51)^2</f>
        <v>1.5431160493827096</v>
      </c>
      <c r="J51" s="22">
        <f>('BFI Scores'!O51-'BFI Scores'!E51)^2</f>
        <v>1.1556250000000032E-2</v>
      </c>
      <c r="K51" s="22">
        <f>('BFI Scores'!P51-'BFI Scores'!F51)^2</f>
        <v>0.12250000000000007</v>
      </c>
      <c r="L51" s="22">
        <f>('BFI Scores'!Q51-'BFI Scores'!B51)^2</f>
        <v>2.2725562500000009</v>
      </c>
      <c r="M51" s="22">
        <f>('BFI Scores'!R51-'BFI Scores'!C51)^2</f>
        <v>9.1308641975318509E-3</v>
      </c>
      <c r="N51" s="22">
        <f>('BFI Scores'!S51-'BFI Scores'!D51)^2</f>
        <v>6.9930864197528295E-2</v>
      </c>
      <c r="O51" s="22">
        <f>('BFI Scores'!T51-'BFI Scores'!E51)^2</f>
        <v>0.2450250000000001</v>
      </c>
      <c r="P51" s="22">
        <f>('BFI Scores'!U51-'BFI Scores'!F51)^2</f>
        <v>0.75690000000000024</v>
      </c>
      <c r="Q51" s="22">
        <f>('BFI Scores'!V51-'BFI Scores'!B51)^2</f>
        <v>1.4280250000000008</v>
      </c>
      <c r="R51" s="22">
        <f>('BFI Scores'!W51-'BFI Scores'!C51)^2</f>
        <v>0.1393777777777756</v>
      </c>
      <c r="S51" s="22">
        <f>('BFI Scores'!X51-'BFI Scores'!D51)^2</f>
        <v>1.9537827160493877</v>
      </c>
      <c r="T51" s="22">
        <f>('BFI Scores'!Y51-'BFI Scores'!E51)^2</f>
        <v>1.3110250000000001</v>
      </c>
      <c r="U51" s="22">
        <f>('BFI Scores'!Z51-'BFI Scores'!F51)^2</f>
        <v>1.2321000000000006</v>
      </c>
      <c r="V51" s="29">
        <f>('BFI Scores'!AA51-'BFI Scores'!B51)^2</f>
        <v>1.9460250000000001</v>
      </c>
      <c r="W51" s="29">
        <f>('BFI Scores'!AB51-'BFI Scores'!C51)^2</f>
        <v>4.4444444444493866E-5</v>
      </c>
      <c r="X51" s="29">
        <f>('BFI Scores'!AC51-'BFI Scores'!D51)^2</f>
        <v>1.1568197530864288</v>
      </c>
      <c r="Y51" s="29">
        <f>('BFI Scores'!AD51-'BFI Scores'!E51)^2</f>
        <v>0.2450250000000001</v>
      </c>
      <c r="Z51" s="29">
        <f>('BFI Scores'!AE51-'BFI Scores'!F51)^2</f>
        <v>1.3689000000000009</v>
      </c>
      <c r="AA51" s="29">
        <f>('BFI Scores'!AF51-'BFI Scores'!B51)^2</f>
        <v>1.2825562500000007</v>
      </c>
      <c r="AB51" s="29">
        <f>('BFI Scores'!AG51-'BFI Scores'!C51)^2</f>
        <v>1.8982716049383265E-2</v>
      </c>
      <c r="AC51" s="29">
        <f>('BFI Scores'!AH51-'BFI Scores'!D51)^2</f>
        <v>3.4348444444444319</v>
      </c>
      <c r="AD51" s="29">
        <f>('BFI Scores'!AI51-'BFI Scores'!E51)^2</f>
        <v>0.2450250000000001</v>
      </c>
      <c r="AE51" s="29">
        <f>('BFI Scores'!AJ51-'BFI Scores'!F51)^2</f>
        <v>0.44890000000000052</v>
      </c>
      <c r="AF51" s="23">
        <f t="shared" si="6"/>
        <v>0.37621299382716067</v>
      </c>
      <c r="AG51" s="23">
        <f t="shared" si="7"/>
        <v>0.41498507716049271</v>
      </c>
      <c r="AH51" s="23">
        <f t="shared" si="8"/>
        <v>0.67070859567901242</v>
      </c>
      <c r="AI51" s="23">
        <f t="shared" si="9"/>
        <v>1.212862098765433</v>
      </c>
      <c r="AJ51" s="30">
        <f t="shared" si="10"/>
        <v>0.94336283950617494</v>
      </c>
      <c r="AK51" s="30">
        <f t="shared" si="11"/>
        <v>1.0860616820987634</v>
      </c>
    </row>
    <row r="52" spans="1:37" x14ac:dyDescent="0.2">
      <c r="A52" s="21">
        <v>53025</v>
      </c>
      <c r="B52" s="22">
        <f>('BFI Scores'!G52-'BFI Scores'!B52)^2</f>
        <v>0.61230625000000027</v>
      </c>
      <c r="C52" s="22">
        <f>('BFI Scores'!H52-'BFI Scores'!C52)^2</f>
        <v>2.8112111111111218</v>
      </c>
      <c r="D52" s="22">
        <f>('BFI Scores'!I52-'BFI Scores'!D52)^2</f>
        <v>0.10890000000000005</v>
      </c>
      <c r="E52" s="22">
        <f>('BFI Scores'!J52-'BFI Scores'!E52)^2</f>
        <v>1.0506249999999999</v>
      </c>
      <c r="F52" s="22">
        <f>('BFI Scores'!K52-'BFI Scores'!F52)^2</f>
        <v>0.17639999999999995</v>
      </c>
      <c r="G52" s="22">
        <f>('BFI Scores'!L52-'BFI Scores'!B52)^2</f>
        <v>0.63202499999999984</v>
      </c>
      <c r="H52" s="22">
        <f>('BFI Scores'!M52-'BFI Scores'!C52)^2</f>
        <v>1.1118530864197644</v>
      </c>
      <c r="I52" s="22">
        <f>('BFI Scores'!N52-'BFI Scores'!D52)^2</f>
        <v>0.14020864197530525</v>
      </c>
      <c r="J52" s="22">
        <f>('BFI Scores'!O52-'BFI Scores'!E52)^2</f>
        <v>7.6562499999999842E-3</v>
      </c>
      <c r="K52" s="22">
        <f>('BFI Scores'!P52-'BFI Scores'!F52)^2</f>
        <v>1.9600000000000034E-2</v>
      </c>
      <c r="L52" s="22">
        <f>('BFI Scores'!Q52-'BFI Scores'!B52)^2</f>
        <v>0.46580625000000014</v>
      </c>
      <c r="M52" s="22">
        <f>('BFI Scores'!R52-'BFI Scores'!C52)^2</f>
        <v>1.9880999999999991</v>
      </c>
      <c r="N52" s="22">
        <f>('BFI Scores'!S52-'BFI Scores'!D52)^2</f>
        <v>0.13201111111110883</v>
      </c>
      <c r="O52" s="22">
        <f>('BFI Scores'!T52-'BFI Scores'!E52)^2</f>
        <v>0.22562500000000008</v>
      </c>
      <c r="P52" s="22">
        <f>('BFI Scores'!U52-'BFI Scores'!F52)^2</f>
        <v>0.21159999999999995</v>
      </c>
      <c r="Q52" s="22">
        <f>('BFI Scores'!V52-'BFI Scores'!B52)^2</f>
        <v>4.0300562500000012</v>
      </c>
      <c r="R52" s="22">
        <f>('BFI Scores'!W52-'BFI Scores'!C52)^2</f>
        <v>0.73007530864198422</v>
      </c>
      <c r="S52" s="22">
        <f>('BFI Scores'!X52-'BFI Scores'!D52)^2</f>
        <v>0.16628271604938472</v>
      </c>
      <c r="T52" s="22">
        <f>('BFI Scores'!Y52-'BFI Scores'!E52)^2</f>
        <v>0.22562500000000008</v>
      </c>
      <c r="U52" s="22">
        <f>('BFI Scores'!Z52-'BFI Scores'!F52)^2</f>
        <v>9.0000000000001494E-4</v>
      </c>
      <c r="V52" s="29">
        <f>('BFI Scores'!AA52-'BFI Scores'!B52)^2</f>
        <v>1.2265562499999998</v>
      </c>
      <c r="W52" s="29">
        <f>('BFI Scores'!AB52-'BFI Scores'!C52)^2</f>
        <v>3.3164456790123427</v>
      </c>
      <c r="X52" s="29">
        <f>('BFI Scores'!AC52-'BFI Scores'!D52)^2</f>
        <v>0.18490000000000015</v>
      </c>
      <c r="Y52" s="29">
        <f>('BFI Scores'!AD52-'BFI Scores'!E52)^2</f>
        <v>2.1025000000000005</v>
      </c>
      <c r="Z52" s="29">
        <f>('BFI Scores'!AE52-'BFI Scores'!F52)^2</f>
        <v>0.16810000000000011</v>
      </c>
      <c r="AA52" s="29">
        <f>('BFI Scores'!AF52-'BFI Scores'!B52)^2</f>
        <v>1.2544000000000002</v>
      </c>
      <c r="AB52" s="29">
        <f>('BFI Scores'!AG52-'BFI Scores'!C52)^2</f>
        <v>1.0200999999999996</v>
      </c>
      <c r="AC52" s="29">
        <f>('BFI Scores'!AH52-'BFI Scores'!D52)^2</f>
        <v>1.6899999999999971E-2</v>
      </c>
      <c r="AD52" s="29">
        <f>('BFI Scores'!AI52-'BFI Scores'!E52)^2</f>
        <v>1.5625E-2</v>
      </c>
      <c r="AE52" s="29">
        <f>('BFI Scores'!AJ52-'BFI Scores'!F52)^2</f>
        <v>1.4400000000000026E-2</v>
      </c>
      <c r="AF52" s="23">
        <f t="shared" si="6"/>
        <v>0.9518884722222245</v>
      </c>
      <c r="AG52" s="23">
        <f t="shared" si="7"/>
        <v>0.38226859567901389</v>
      </c>
      <c r="AH52" s="23">
        <f t="shared" si="8"/>
        <v>0.60462847222222149</v>
      </c>
      <c r="AI52" s="23">
        <f t="shared" si="9"/>
        <v>1.0305878549382741</v>
      </c>
      <c r="AJ52" s="30">
        <f t="shared" si="10"/>
        <v>1.3997003858024686</v>
      </c>
      <c r="AK52" s="30">
        <f t="shared" si="11"/>
        <v>0.464285</v>
      </c>
    </row>
    <row r="53" spans="1:37" x14ac:dyDescent="0.2">
      <c r="A53" s="21">
        <v>53958</v>
      </c>
      <c r="B53" s="22">
        <f>('BFI Scores'!G53-'BFI Scores'!B53)^2</f>
        <v>0.19802500000000026</v>
      </c>
      <c r="C53" s="22">
        <f>('BFI Scores'!H53-'BFI Scores'!C53)^2</f>
        <v>4.0893827160492779E-2</v>
      </c>
      <c r="D53" s="22">
        <f>('BFI Scores'!I53-'BFI Scores'!D53)^2</f>
        <v>2.3137790123456767</v>
      </c>
      <c r="E53" s="22">
        <f>('BFI Scores'!J53-'BFI Scores'!E53)^2</f>
        <v>0.26265624999999998</v>
      </c>
      <c r="F53" s="22">
        <f>('BFI Scores'!K53-'BFI Scores'!F53)^2</f>
        <v>1.000000000000135E-4</v>
      </c>
      <c r="G53" s="22">
        <f>('BFI Scores'!L53-'BFI Scores'!B53)^2</f>
        <v>8.7024999999999963E-2</v>
      </c>
      <c r="H53" s="22">
        <f>('BFI Scores'!M53-'BFI Scores'!C53)^2</f>
        <v>1.2643753086419651</v>
      </c>
      <c r="I53" s="22">
        <f>('BFI Scores'!N53-'BFI Scores'!D53)^2</f>
        <v>3.1211111111112397E-2</v>
      </c>
      <c r="J53" s="22">
        <f>('BFI Scores'!O53-'BFI Scores'!E53)^2</f>
        <v>1.2100000000000002</v>
      </c>
      <c r="K53" s="22">
        <f>('BFI Scores'!P53-'BFI Scores'!F53)^2</f>
        <v>1.0200999999999996</v>
      </c>
      <c r="L53" s="22">
        <f>('BFI Scores'!Q53-'BFI Scores'!B53)^2</f>
        <v>4.8400000000000089E-2</v>
      </c>
      <c r="M53" s="22">
        <f>('BFI Scores'!R53-'BFI Scores'!C53)^2</f>
        <v>5.0375308641973315E-2</v>
      </c>
      <c r="N53" s="22">
        <f>('BFI Scores'!S53-'BFI Scores'!D53)^2</f>
        <v>2.0512604938271557</v>
      </c>
      <c r="O53" s="22">
        <f>('BFI Scores'!T53-'BFI Scores'!E53)^2</f>
        <v>0.83265625000000021</v>
      </c>
      <c r="P53" s="22">
        <f>('BFI Scores'!U53-'BFI Scores'!F53)^2</f>
        <v>0.15210000000000046</v>
      </c>
      <c r="Q53" s="22">
        <f>('BFI Scores'!V53-'BFI Scores'!B53)^2</f>
        <v>0.27040000000000003</v>
      </c>
      <c r="R53" s="22">
        <f>('BFI Scores'!W53-'BFI Scores'!C53)^2</f>
        <v>8.4745679012345018E-2</v>
      </c>
      <c r="S53" s="22">
        <f>('BFI Scores'!X53-'BFI Scores'!D53)^2</f>
        <v>3.8634086419753277</v>
      </c>
      <c r="T53" s="22">
        <f>('BFI Scores'!Y53-'BFI Scores'!E53)^2</f>
        <v>1.4400000000000004</v>
      </c>
      <c r="U53" s="22">
        <f>('BFI Scores'!Z53-'BFI Scores'!F53)^2</f>
        <v>0.65609999999999935</v>
      </c>
      <c r="V53" s="29">
        <f>('BFI Scores'!AA53-'BFI Scores'!B53)^2</f>
        <v>1.5500250000000002</v>
      </c>
      <c r="W53" s="29">
        <f>('BFI Scores'!AB53-'BFI Scores'!C53)^2</f>
        <v>1.837530864197371E-2</v>
      </c>
      <c r="X53" s="29">
        <f>('BFI Scores'!AC53-'BFI Scores'!D53)^2</f>
        <v>3.5637049382716142</v>
      </c>
      <c r="Y53" s="29">
        <f>('BFI Scores'!AD53-'BFI Scores'!E53)^2</f>
        <v>0.40640624999999997</v>
      </c>
      <c r="Z53" s="29">
        <f>('BFI Scores'!AE53-'BFI Scores'!F53)^2</f>
        <v>0.16000000000000028</v>
      </c>
      <c r="AA53" s="29">
        <f>('BFI Scores'!AF53-'BFI Scores'!B53)^2</f>
        <v>1.0920249999999998</v>
      </c>
      <c r="AB53" s="29">
        <f>('BFI Scores'!AG53-'BFI Scores'!C53)^2</f>
        <v>1.6383999999999994</v>
      </c>
      <c r="AC53" s="29">
        <f>('BFI Scores'!AH53-'BFI Scores'!D53)^2</f>
        <v>1.5183716049382669</v>
      </c>
      <c r="AD53" s="29">
        <f>('BFI Scores'!AI53-'BFI Scores'!E53)^2</f>
        <v>0.97515625000000006</v>
      </c>
      <c r="AE53" s="29">
        <f>('BFI Scores'!AJ53-'BFI Scores'!F53)^2</f>
        <v>1.0403999999999991</v>
      </c>
      <c r="AF53" s="23">
        <f t="shared" si="6"/>
        <v>0.56309081790123394</v>
      </c>
      <c r="AG53" s="23">
        <f t="shared" si="7"/>
        <v>0.72254228395061537</v>
      </c>
      <c r="AH53" s="23">
        <f t="shared" si="8"/>
        <v>0.62695841049382595</v>
      </c>
      <c r="AI53" s="23">
        <f t="shared" si="9"/>
        <v>1.2629308641975345</v>
      </c>
      <c r="AJ53" s="30">
        <f t="shared" si="10"/>
        <v>1.1397022993827177</v>
      </c>
      <c r="AK53" s="30">
        <f t="shared" si="11"/>
        <v>1.2528705709876531</v>
      </c>
    </row>
    <row r="54" spans="1:37" x14ac:dyDescent="0.2">
      <c r="A54" s="21">
        <v>54165</v>
      </c>
      <c r="B54" s="22">
        <f>('BFI Scores'!G54-'BFI Scores'!B54)^2</f>
        <v>5.0625</v>
      </c>
      <c r="C54" s="22">
        <f>('BFI Scores'!H54-'BFI Scores'!C54)^2</f>
        <v>0.15471111111110847</v>
      </c>
      <c r="D54" s="22">
        <f>('BFI Scores'!I54-'BFI Scores'!D54)^2</f>
        <v>1.2618777777777701</v>
      </c>
      <c r="E54" s="22">
        <f>('BFI Scores'!J54-'BFI Scores'!E54)^2</f>
        <v>0.10562500000000012</v>
      </c>
      <c r="F54" s="22">
        <f>('BFI Scores'!K54-'BFI Scores'!F54)^2</f>
        <v>0.15999999999999992</v>
      </c>
      <c r="G54" s="22">
        <f>('BFI Scores'!L54-'BFI Scores'!B54)^2</f>
        <v>1.5625</v>
      </c>
      <c r="H54" s="22">
        <f>('BFI Scores'!M54-'BFI Scores'!C54)^2</f>
        <v>0.16357530864197975</v>
      </c>
      <c r="I54" s="22">
        <f>('BFI Scores'!N54-'BFI Scores'!D54)^2</f>
        <v>1.2124456790123432</v>
      </c>
      <c r="J54" s="22">
        <f>('BFI Scores'!O54-'BFI Scores'!E54)^2</f>
        <v>0.58140625000000024</v>
      </c>
      <c r="K54" s="22">
        <f>('BFI Scores'!P54-'BFI Scores'!F54)^2</f>
        <v>6.7599999999999882E-2</v>
      </c>
      <c r="L54" s="22">
        <f>('BFI Scores'!Q54-'BFI Scores'!B54)^2</f>
        <v>1.9599999999999997</v>
      </c>
      <c r="M54" s="22">
        <f>('BFI Scores'!R54-'BFI Scores'!C54)^2</f>
        <v>0.21364938271604722</v>
      </c>
      <c r="N54" s="22">
        <f>('BFI Scores'!S54-'BFI Scores'!D54)^2</f>
        <v>1.2370382716049337</v>
      </c>
      <c r="O54" s="22">
        <f>('BFI Scores'!T54-'BFI Scores'!E54)^2</f>
        <v>0.12249999999999975</v>
      </c>
      <c r="P54" s="22">
        <f>('BFI Scores'!U54-'BFI Scores'!F54)^2</f>
        <v>1.1025</v>
      </c>
      <c r="Q54" s="22">
        <f>('BFI Scores'!V54-'BFI Scores'!B54)^2</f>
        <v>0.34515624999999989</v>
      </c>
      <c r="R54" s="22">
        <f>('BFI Scores'!W54-'BFI Scores'!C54)^2</f>
        <v>9.4044444444446332E-2</v>
      </c>
      <c r="S54" s="22">
        <f>('BFI Scores'!X54-'BFI Scores'!D54)^2</f>
        <v>1.0472111111111049</v>
      </c>
      <c r="T54" s="22">
        <f>('BFI Scores'!Y54-'BFI Scores'!E54)^2</f>
        <v>0.47265625</v>
      </c>
      <c r="U54" s="22">
        <f>('BFI Scores'!Z54-'BFI Scores'!F54)^2</f>
        <v>8.0999999999999753E-3</v>
      </c>
      <c r="V54" s="29">
        <f>('BFI Scores'!AA54-'BFI Scores'!B54)^2</f>
        <v>3.515625</v>
      </c>
      <c r="W54" s="29">
        <f>('BFI Scores'!AB54-'BFI Scores'!C54)^2</f>
        <v>0.46542716049382421</v>
      </c>
      <c r="X54" s="29">
        <f>('BFI Scores'!AC54-'BFI Scores'!D54)^2</f>
        <v>0.91521111111111775</v>
      </c>
      <c r="Y54" s="29">
        <f>('BFI Scores'!AD54-'BFI Scores'!E54)^2</f>
        <v>0.22562499999999966</v>
      </c>
      <c r="Z54" s="29">
        <f>('BFI Scores'!AE54-'BFI Scores'!F54)^2</f>
        <v>2.5600000000000046E-2</v>
      </c>
      <c r="AA54" s="29">
        <f>('BFI Scores'!AF54-'BFI Scores'!B54)^2</f>
        <v>0.7014062499999999</v>
      </c>
      <c r="AB54" s="29">
        <f>('BFI Scores'!AG54-'BFI Scores'!C54)^2</f>
        <v>1.3353086419754079E-2</v>
      </c>
      <c r="AC54" s="29">
        <f>('BFI Scores'!AH54-'BFI Scores'!D54)^2</f>
        <v>0.98010000000000042</v>
      </c>
      <c r="AD54" s="29">
        <f>('BFI Scores'!AI54-'BFI Scores'!E54)^2</f>
        <v>0.16000000000000028</v>
      </c>
      <c r="AE54" s="29">
        <f>('BFI Scores'!AJ54-'BFI Scores'!F54)^2</f>
        <v>4.4099999999999986E-2</v>
      </c>
      <c r="AF54" s="23">
        <f t="shared" si="6"/>
        <v>1.3489427777777758</v>
      </c>
      <c r="AG54" s="23">
        <f t="shared" si="7"/>
        <v>0.71750544753086465</v>
      </c>
      <c r="AH54" s="23">
        <f t="shared" si="8"/>
        <v>0.92713753086419604</v>
      </c>
      <c r="AI54" s="23">
        <f t="shared" si="9"/>
        <v>0.39343361111111019</v>
      </c>
      <c r="AJ54" s="30">
        <f t="shared" si="10"/>
        <v>1.0294976543209882</v>
      </c>
      <c r="AK54" s="30">
        <f t="shared" si="11"/>
        <v>0.37979186728395098</v>
      </c>
    </row>
    <row r="55" spans="1:37" x14ac:dyDescent="0.2">
      <c r="A55" s="21">
        <v>54409</v>
      </c>
      <c r="B55" s="22">
        <f>('BFI Scores'!G55-'BFI Scores'!B55)^2</f>
        <v>3.0624999999999937E-2</v>
      </c>
      <c r="C55" s="22">
        <f>('BFI Scores'!H55-'BFI Scores'!C55)^2</f>
        <v>0.10598641975308948</v>
      </c>
      <c r="D55" s="22">
        <f>('BFI Scores'!I55-'BFI Scores'!D55)^2</f>
        <v>5.6749827160493709</v>
      </c>
      <c r="E55" s="22">
        <f>('BFI Scores'!J55-'BFI Scores'!E55)^2</f>
        <v>0.390625</v>
      </c>
      <c r="F55" s="22">
        <f>('BFI Scores'!K55-'BFI Scores'!F55)^2</f>
        <v>0.23039999999999999</v>
      </c>
      <c r="G55" s="22">
        <f>('BFI Scores'!L55-'BFI Scores'!B55)^2</f>
        <v>1.265625</v>
      </c>
      <c r="H55" s="22">
        <f>('BFI Scores'!M55-'BFI Scores'!C55)^2</f>
        <v>0.96257901234567667</v>
      </c>
      <c r="I55" s="22">
        <f>('BFI Scores'!N55-'BFI Scores'!D55)^2</f>
        <v>8.7615999999999978</v>
      </c>
      <c r="J55" s="22">
        <f>('BFI Scores'!O55-'BFI Scores'!E55)^2</f>
        <v>1.265625</v>
      </c>
      <c r="K55" s="22">
        <f>('BFI Scores'!P55-'BFI Scores'!F55)^2</f>
        <v>9.0000000000000163E-2</v>
      </c>
      <c r="L55" s="22">
        <f>('BFI Scores'!Q55-'BFI Scores'!B55)^2</f>
        <v>0.40640625000000025</v>
      </c>
      <c r="M55" s="22">
        <f>('BFI Scores'!R55-'BFI Scores'!C55)^2</f>
        <v>3.2922086419752921</v>
      </c>
      <c r="N55" s="22">
        <f>('BFI Scores'!S55-'BFI Scores'!D55)^2</f>
        <v>6.5535999999999976</v>
      </c>
      <c r="O55" s="22">
        <f>('BFI Scores'!T55-'BFI Scores'!E55)^2</f>
        <v>1.4062500000000067E-3</v>
      </c>
      <c r="P55" s="22">
        <f>('BFI Scores'!U55-'BFI Scores'!F55)^2</f>
        <v>1.6899999999999971E-2</v>
      </c>
      <c r="Q55" s="22">
        <f>('BFI Scores'!V55-'BFI Scores'!B55)^2</f>
        <v>0.97515624999999961</v>
      </c>
      <c r="R55" s="22">
        <f>('BFI Scores'!W55-'BFI Scores'!C55)^2</f>
        <v>2.1936901234567867</v>
      </c>
      <c r="S55" s="22">
        <f>('BFI Scores'!X55-'BFI Scores'!D55)^2</f>
        <v>7.4954271604938363</v>
      </c>
      <c r="T55" s="22">
        <f>('BFI Scores'!Y55-'BFI Scores'!E55)^2</f>
        <v>7.5624999999999956E-2</v>
      </c>
      <c r="U55" s="22">
        <f>('BFI Scores'!Z55-'BFI Scores'!F55)^2</f>
        <v>0.77440000000000064</v>
      </c>
      <c r="V55" s="29">
        <f>('BFI Scores'!AA55-'BFI Scores'!B55)^2</f>
        <v>0.62015624999999941</v>
      </c>
      <c r="W55" s="29">
        <f>('BFI Scores'!AB55-'BFI Scores'!C55)^2</f>
        <v>0.33769012345678834</v>
      </c>
      <c r="X55" s="29">
        <f>('BFI Scores'!AC55-'BFI Scores'!D55)^2</f>
        <v>7.1348345679012253</v>
      </c>
      <c r="Y55" s="29">
        <f>('BFI Scores'!AD55-'BFI Scores'!E55)^2</f>
        <v>0.17015625000000006</v>
      </c>
      <c r="Z55" s="29">
        <f>('BFI Scores'!AE55-'BFI Scores'!F55)^2</f>
        <v>0.16810000000000011</v>
      </c>
      <c r="AA55" s="29">
        <f>('BFI Scores'!AF55-'BFI Scores'!B55)^2</f>
        <v>1.265625</v>
      </c>
      <c r="AB55" s="29">
        <f>('BFI Scores'!AG55-'BFI Scores'!C55)^2</f>
        <v>1.9074679012345643</v>
      </c>
      <c r="AC55" s="29">
        <f>('BFI Scores'!AH55-'BFI Scores'!D55)^2</f>
        <v>10.555279012345684</v>
      </c>
      <c r="AD55" s="29">
        <f>('BFI Scores'!AI55-'BFI Scores'!E55)^2</f>
        <v>0.87890625</v>
      </c>
      <c r="AE55" s="29">
        <f>('BFI Scores'!AJ55-'BFI Scores'!F55)^2</f>
        <v>0.25</v>
      </c>
      <c r="AF55" s="23">
        <f t="shared" si="6"/>
        <v>1.2865238271604922</v>
      </c>
      <c r="AG55" s="23">
        <f t="shared" si="7"/>
        <v>2.4690858024691349</v>
      </c>
      <c r="AH55" s="23">
        <f t="shared" si="8"/>
        <v>2.0541042283950581</v>
      </c>
      <c r="AI55" s="23">
        <f t="shared" si="9"/>
        <v>2.3028597067901244</v>
      </c>
      <c r="AJ55" s="30">
        <f t="shared" si="10"/>
        <v>1.6861874382716029</v>
      </c>
      <c r="AK55" s="30">
        <f t="shared" si="11"/>
        <v>2.97145563271605</v>
      </c>
    </row>
    <row r="56" spans="1:37" x14ac:dyDescent="0.2">
      <c r="A56" s="21">
        <v>54761</v>
      </c>
      <c r="B56" s="22">
        <f>('BFI Scores'!G56-'BFI Scores'!B56)^2</f>
        <v>0.21855624999999981</v>
      </c>
      <c r="C56" s="22">
        <f>('BFI Scores'!H56-'BFI Scores'!C56)^2</f>
        <v>0.32998641975308141</v>
      </c>
      <c r="D56" s="22">
        <f>('BFI Scores'!I56-'BFI Scores'!D56)^2</f>
        <v>0.10169012345679077</v>
      </c>
      <c r="E56" s="22">
        <f>('BFI Scores'!J56-'BFI Scores'!E56)^2</f>
        <v>1.1663999999999997</v>
      </c>
      <c r="F56" s="22">
        <f>('BFI Scores'!K56-'BFI Scores'!F56)^2</f>
        <v>0.18490000000000051</v>
      </c>
      <c r="G56" s="22">
        <f>('BFI Scores'!L56-'BFI Scores'!B56)^2</f>
        <v>0.20702500000000007</v>
      </c>
      <c r="H56" s="22">
        <f>('BFI Scores'!M56-'BFI Scores'!C56)^2</f>
        <v>0.36939382716049701</v>
      </c>
      <c r="I56" s="22">
        <f>('BFI Scores'!N56-'BFI Scores'!D56)^2</f>
        <v>0.12094938271605074</v>
      </c>
      <c r="J56" s="22">
        <f>('BFI Scores'!O56-'BFI Scores'!E56)^2</f>
        <v>0.70980624999999964</v>
      </c>
      <c r="K56" s="22">
        <f>('BFI Scores'!P56-'BFI Scores'!F56)^2</f>
        <v>4.8399999999999888E-2</v>
      </c>
      <c r="L56" s="22">
        <f>('BFI Scores'!Q56-'BFI Scores'!B56)^2</f>
        <v>2.8899999999999974E-2</v>
      </c>
      <c r="M56" s="22">
        <f>('BFI Scores'!R56-'BFI Scores'!C56)^2</f>
        <v>0.20450493827160302</v>
      </c>
      <c r="N56" s="22">
        <f>('BFI Scores'!S56-'BFI Scores'!D56)^2</f>
        <v>0.16628271604938472</v>
      </c>
      <c r="O56" s="22">
        <f>('BFI Scores'!T56-'BFI Scores'!E56)^2</f>
        <v>1.0100249999999997</v>
      </c>
      <c r="P56" s="22">
        <f>('BFI Scores'!U56-'BFI Scores'!F56)^2</f>
        <v>0.10240000000000019</v>
      </c>
      <c r="Q56" s="22">
        <f>('BFI Scores'!V56-'BFI Scores'!B56)^2</f>
        <v>0.126025</v>
      </c>
      <c r="R56" s="22">
        <f>('BFI Scores'!W56-'BFI Scores'!C56)^2</f>
        <v>0.10890000000000005</v>
      </c>
      <c r="S56" s="22">
        <f>('BFI Scores'!X56-'BFI Scores'!D56)^2</f>
        <v>2.667777777777669E-2</v>
      </c>
      <c r="T56" s="22">
        <f>('BFI Scores'!Y56-'BFI Scores'!E56)^2</f>
        <v>0.93605624999999959</v>
      </c>
      <c r="U56" s="22">
        <f>('BFI Scores'!Z56-'BFI Scores'!F56)^2</f>
        <v>3.6000000000000064E-3</v>
      </c>
      <c r="V56" s="29">
        <f>('BFI Scores'!AA56-'BFI Scores'!B56)^2</f>
        <v>2.0249999999999938E-3</v>
      </c>
      <c r="W56" s="29">
        <f>('BFI Scores'!AB56-'BFI Scores'!C56)^2</f>
        <v>0.38302345679012445</v>
      </c>
      <c r="X56" s="29">
        <f>('BFI Scores'!AC56-'BFI Scores'!D56)^2</f>
        <v>1.0839123456790101</v>
      </c>
      <c r="Y56" s="29">
        <f>('BFI Scores'!AD56-'BFI Scores'!E56)^2</f>
        <v>0.98505624999999986</v>
      </c>
      <c r="Z56" s="29">
        <f>('BFI Scores'!AE56-'BFI Scores'!F56)^2</f>
        <v>7.2900000000000256E-2</v>
      </c>
      <c r="AA56" s="29">
        <f>('BFI Scores'!AF56-'BFI Scores'!B56)^2</f>
        <v>2.4024999999999939E-2</v>
      </c>
      <c r="AB56" s="29">
        <f>('BFI Scores'!AG56-'BFI Scores'!C56)^2</f>
        <v>0.2466777777777808</v>
      </c>
      <c r="AC56" s="29">
        <f>('BFI Scores'!AH56-'BFI Scores'!D56)^2</f>
        <v>0.20450493827160302</v>
      </c>
      <c r="AD56" s="29">
        <f>('BFI Scores'!AI56-'BFI Scores'!E56)^2</f>
        <v>0.98505624999999986</v>
      </c>
      <c r="AE56" s="29">
        <f>('BFI Scores'!AJ56-'BFI Scores'!F56)^2</f>
        <v>0.31359999999999955</v>
      </c>
      <c r="AF56" s="23">
        <f t="shared" si="6"/>
        <v>0.4003065586419744</v>
      </c>
      <c r="AG56" s="23">
        <f t="shared" si="7"/>
        <v>0.29111489197530949</v>
      </c>
      <c r="AH56" s="23">
        <f t="shared" si="8"/>
        <v>0.30242253086419757</v>
      </c>
      <c r="AI56" s="23">
        <f t="shared" si="9"/>
        <v>0.24025180555555528</v>
      </c>
      <c r="AJ56" s="30">
        <f t="shared" si="10"/>
        <v>0.50538341049382685</v>
      </c>
      <c r="AK56" s="30">
        <f t="shared" si="11"/>
        <v>0.35477279320987665</v>
      </c>
    </row>
    <row r="57" spans="1:37" x14ac:dyDescent="0.2">
      <c r="A57" s="21">
        <v>55599</v>
      </c>
      <c r="B57" s="22">
        <f>('BFI Scores'!G57-'BFI Scores'!B57)^2</f>
        <v>0.29430624999999999</v>
      </c>
      <c r="C57" s="22">
        <f>('BFI Scores'!H57-'BFI Scores'!C57)^2</f>
        <v>5.0375308641973517E-2</v>
      </c>
      <c r="D57" s="22">
        <f>('BFI Scores'!I57-'BFI Scores'!D57)^2</f>
        <v>0.37890864197530189</v>
      </c>
      <c r="E57" s="22">
        <f>('BFI Scores'!J57-'BFI Scores'!E57)^2</f>
        <v>0.68062499999999992</v>
      </c>
      <c r="F57" s="22">
        <f>('BFI Scores'!K57-'BFI Scores'!F57)^2</f>
        <v>4.536900000000001</v>
      </c>
      <c r="G57" s="22">
        <f>('BFI Scores'!L57-'BFI Scores'!B57)^2</f>
        <v>1.7556250000000075E-2</v>
      </c>
      <c r="H57" s="22">
        <f>('BFI Scores'!M57-'BFI Scores'!C57)^2</f>
        <v>7.9012345679021264E-5</v>
      </c>
      <c r="I57" s="22">
        <f>('BFI Scores'!N57-'BFI Scores'!D57)^2</f>
        <v>8.0908641975306145E-2</v>
      </c>
      <c r="J57" s="22">
        <f>('BFI Scores'!O57-'BFI Scores'!E57)^2</f>
        <v>0.62015625000000019</v>
      </c>
      <c r="K57" s="22">
        <f>('BFI Scores'!P57-'BFI Scores'!F57)^2</f>
        <v>1.1025000000000005</v>
      </c>
      <c r="L57" s="22">
        <f>('BFI Scores'!Q57-'BFI Scores'!B57)^2</f>
        <v>0.38440000000000013</v>
      </c>
      <c r="M57" s="22">
        <f>('BFI Scores'!R57-'BFI Scores'!C57)^2</f>
        <v>4.089382716049296E-2</v>
      </c>
      <c r="N57" s="22">
        <f>('BFI Scores'!S57-'BFI Scores'!D57)^2</f>
        <v>0.11409382716049529</v>
      </c>
      <c r="O57" s="22">
        <f>('BFI Scores'!T57-'BFI Scores'!E57)^2</f>
        <v>0.85562500000000008</v>
      </c>
      <c r="P57" s="22">
        <f>('BFI Scores'!U57-'BFI Scores'!F57)^2</f>
        <v>2.8900000000000006</v>
      </c>
      <c r="Q57" s="22">
        <f>('BFI Scores'!V57-'BFI Scores'!B57)^2</f>
        <v>6.8062500000000033E-3</v>
      </c>
      <c r="R57" s="22">
        <f>('BFI Scores'!W57-'BFI Scores'!C57)^2</f>
        <v>0.38439999999999958</v>
      </c>
      <c r="S57" s="22">
        <f>('BFI Scores'!X57-'BFI Scores'!D57)^2</f>
        <v>0.20150123456790242</v>
      </c>
      <c r="T57" s="22">
        <f>('BFI Scores'!Y57-'BFI Scores'!E57)^2</f>
        <v>4.0501562500000006</v>
      </c>
      <c r="U57" s="22">
        <f>('BFI Scores'!Z57-'BFI Scores'!F57)^2</f>
        <v>2.6569000000000011</v>
      </c>
      <c r="V57" s="29">
        <f>('BFI Scores'!AA57-'BFI Scores'!B57)^2</f>
        <v>0.20702500000000007</v>
      </c>
      <c r="W57" s="29">
        <f>('BFI Scores'!AB57-'BFI Scores'!C57)^2</f>
        <v>6.084444444444112E-2</v>
      </c>
      <c r="X57" s="29">
        <f>('BFI Scores'!AC57-'BFI Scores'!D57)^2</f>
        <v>1.2945382716049438</v>
      </c>
      <c r="Y57" s="29">
        <f>('BFI Scores'!AD57-'BFI Scores'!E57)^2</f>
        <v>0.765625</v>
      </c>
      <c r="Z57" s="29">
        <f>('BFI Scores'!AE57-'BFI Scores'!F57)^2</f>
        <v>5.5225000000000009</v>
      </c>
      <c r="AA57" s="29">
        <f>('BFI Scores'!AF57-'BFI Scores'!B57)^2</f>
        <v>9.4556250000000064E-2</v>
      </c>
      <c r="AB57" s="29">
        <f>('BFI Scores'!AG57-'BFI Scores'!C57)^2</f>
        <v>0.17639999999999995</v>
      </c>
      <c r="AC57" s="29">
        <f>('BFI Scores'!AH57-'BFI Scores'!D57)^2</f>
        <v>4.6464197530866086E-2</v>
      </c>
      <c r="AD57" s="29">
        <f>('BFI Scores'!AI57-'BFI Scores'!E57)^2</f>
        <v>3.6576562500000005</v>
      </c>
      <c r="AE57" s="29">
        <f>('BFI Scores'!AJ57-'BFI Scores'!F57)^2</f>
        <v>1.4641</v>
      </c>
      <c r="AF57" s="23">
        <f t="shared" si="6"/>
        <v>1.1882230401234553</v>
      </c>
      <c r="AG57" s="23">
        <f t="shared" si="7"/>
        <v>0.36424003086419721</v>
      </c>
      <c r="AH57" s="23">
        <f t="shared" si="8"/>
        <v>0.85700253086419775</v>
      </c>
      <c r="AI57" s="23">
        <f t="shared" si="9"/>
        <v>1.4599527469135807</v>
      </c>
      <c r="AJ57" s="30">
        <f t="shared" si="10"/>
        <v>1.5701065432098773</v>
      </c>
      <c r="AK57" s="30">
        <f t="shared" si="11"/>
        <v>1.0878353395061733</v>
      </c>
    </row>
    <row r="58" spans="1:37" x14ac:dyDescent="0.2">
      <c r="A58" s="21">
        <v>59088</v>
      </c>
      <c r="B58" s="22">
        <f>('BFI Scores'!G58-'BFI Scores'!B58)^2</f>
        <v>0.85562499999999964</v>
      </c>
      <c r="C58" s="22">
        <f>('BFI Scores'!H58-'BFI Scores'!C58)^2</f>
        <v>3.3382716049385969E-3</v>
      </c>
      <c r="D58" s="22">
        <f>('BFI Scores'!I58-'BFI Scores'!D58)^2</f>
        <v>0.14609382716049232</v>
      </c>
      <c r="E58" s="22">
        <f>('BFI Scores'!J58-'BFI Scores'!E58)^2</f>
        <v>1.9951562500000002</v>
      </c>
      <c r="F58" s="22">
        <f>('BFI Scores'!K58-'BFI Scores'!F58)^2</f>
        <v>0.40959999999999958</v>
      </c>
      <c r="G58" s="22">
        <f>('BFI Scores'!L58-'BFI Scores'!B58)^2</f>
        <v>0.25</v>
      </c>
      <c r="H58" s="22">
        <f>('BFI Scores'!M58-'BFI Scores'!C58)^2</f>
        <v>4.1530864197538127E-3</v>
      </c>
      <c r="I58" s="22">
        <f>('BFI Scores'!N58-'BFI Scores'!D58)^2</f>
        <v>3.6000000000000064E-3</v>
      </c>
      <c r="J58" s="22">
        <f>('BFI Scores'!O58-'BFI Scores'!E58)^2</f>
        <v>2.640625</v>
      </c>
      <c r="K58" s="22">
        <f>('BFI Scores'!P58-'BFI Scores'!F58)^2</f>
        <v>1.4160999999999999</v>
      </c>
      <c r="L58" s="22">
        <f>('BFI Scores'!Q58-'BFI Scores'!B58)^2</f>
        <v>0.15015625000000013</v>
      </c>
      <c r="M58" s="22">
        <f>('BFI Scores'!R58-'BFI Scores'!C58)^2</f>
        <v>0.63644938271605278</v>
      </c>
      <c r="N58" s="22">
        <f>('BFI Scores'!S58-'BFI Scores'!D58)^2</f>
        <v>1.0358716049382763</v>
      </c>
      <c r="O58" s="22">
        <f>('BFI Scores'!T58-'BFI Scores'!E58)^2</f>
        <v>1.5625E-2</v>
      </c>
      <c r="P58" s="22">
        <f>('BFI Scores'!U58-'BFI Scores'!F58)^2</f>
        <v>5.2899999999999989E-2</v>
      </c>
      <c r="Q58" s="22">
        <f>('BFI Scores'!V58-'BFI Scores'!B58)^2</f>
        <v>0.62015625000000019</v>
      </c>
      <c r="R58" s="22">
        <f>('BFI Scores'!W58-'BFI Scores'!C58)^2</f>
        <v>1.7190123456789674E-2</v>
      </c>
      <c r="S58" s="22">
        <f>('BFI Scores'!X58-'BFI Scores'!D58)^2</f>
        <v>0.54759999999999964</v>
      </c>
      <c r="T58" s="22">
        <f>('BFI Scores'!Y58-'BFI Scores'!E58)^2</f>
        <v>0.12250000000000007</v>
      </c>
      <c r="U58" s="22">
        <f>('BFI Scores'!Z58-'BFI Scores'!F58)^2</f>
        <v>2.6895999999999991</v>
      </c>
      <c r="V58" s="29">
        <f>('BFI Scores'!AA58-'BFI Scores'!B58)^2</f>
        <v>0.21390624999999991</v>
      </c>
      <c r="W58" s="29">
        <f>('BFI Scores'!AB58-'BFI Scores'!C58)^2</f>
        <v>2.1511111111109239E-2</v>
      </c>
      <c r="X58" s="29">
        <f>('BFI Scores'!AC58-'BFI Scores'!D58)^2</f>
        <v>6.1945679012346253E-2</v>
      </c>
      <c r="Y58" s="29">
        <f>('BFI Scores'!AD58-'BFI Scores'!E58)^2</f>
        <v>2.2126562499999993</v>
      </c>
      <c r="Z58" s="29">
        <f>('BFI Scores'!AE58-'BFI Scores'!F58)^2</f>
        <v>0.3599999999999996</v>
      </c>
      <c r="AA58" s="29">
        <f>('BFI Scores'!AF58-'BFI Scores'!B58)^2</f>
        <v>4.515624999999996E-2</v>
      </c>
      <c r="AB58" s="29">
        <f>('BFI Scores'!AG58-'BFI Scores'!C58)^2</f>
        <v>5.7086419753092192E-3</v>
      </c>
      <c r="AC58" s="29">
        <f>('BFI Scores'!AH58-'BFI Scores'!D58)^2</f>
        <v>0.17453827160494015</v>
      </c>
      <c r="AD58" s="29">
        <f>('BFI Scores'!AI58-'BFI Scores'!E58)^2</f>
        <v>2.7224999999999997</v>
      </c>
      <c r="AE58" s="29">
        <f>('BFI Scores'!AJ58-'BFI Scores'!F58)^2</f>
        <v>1.5875999999999995</v>
      </c>
      <c r="AF58" s="23">
        <f t="shared" si="6"/>
        <v>0.68196266975308606</v>
      </c>
      <c r="AG58" s="23">
        <f t="shared" si="7"/>
        <v>0.8628956172839507</v>
      </c>
      <c r="AH58" s="23">
        <f t="shared" si="8"/>
        <v>0.37820044753086585</v>
      </c>
      <c r="AI58" s="23">
        <f t="shared" si="9"/>
        <v>0.7994092746913577</v>
      </c>
      <c r="AJ58" s="30">
        <f t="shared" si="10"/>
        <v>0.57400385802469089</v>
      </c>
      <c r="AK58" s="30">
        <f t="shared" si="11"/>
        <v>0.90710063271604968</v>
      </c>
    </row>
    <row r="59" spans="1:37" x14ac:dyDescent="0.2">
      <c r="A59" s="21">
        <v>59741</v>
      </c>
      <c r="B59" s="22">
        <f>('BFI Scores'!G59-'BFI Scores'!B59)^2</f>
        <v>0.11730624999999986</v>
      </c>
      <c r="C59" s="22">
        <f>('BFI Scores'!H59-'BFI Scores'!C59)^2</f>
        <v>1.9599999999999997</v>
      </c>
      <c r="D59" s="22">
        <f>('BFI Scores'!I59-'BFI Scores'!D59)^2</f>
        <v>1.6497975308642114</v>
      </c>
      <c r="E59" s="22">
        <f>('BFI Scores'!J59-'BFI Scores'!E59)^2</f>
        <v>1.2768999999999997</v>
      </c>
      <c r="F59" s="22">
        <f>('BFI Scores'!K59-'BFI Scores'!F59)^2</f>
        <v>9.6100000000000033E-2</v>
      </c>
      <c r="G59" s="22">
        <f>('BFI Scores'!L59-'BFI Scores'!B59)^2</f>
        <v>0.21855624999999981</v>
      </c>
      <c r="H59" s="22">
        <f>('BFI Scores'!M59-'BFI Scores'!C59)^2</f>
        <v>0.77049382716049775</v>
      </c>
      <c r="I59" s="22">
        <f>('BFI Scores'!N59-'BFI Scores'!D59)^2</f>
        <v>0.72439012345678833</v>
      </c>
      <c r="J59" s="22">
        <f>('BFI Scores'!O59-'BFI Scores'!E59)^2</f>
        <v>3.5343999999999998</v>
      </c>
      <c r="K59" s="22">
        <f>('BFI Scores'!P59-'BFI Scores'!F59)^2</f>
        <v>2.4999999999999823E-3</v>
      </c>
      <c r="L59" s="22">
        <f>('BFI Scores'!Q59-'BFI Scores'!B59)^2</f>
        <v>0.69305625000000004</v>
      </c>
      <c r="M59" s="22">
        <f>('BFI Scores'!R59-'BFI Scores'!C59)^2</f>
        <v>3.3611111111110987</v>
      </c>
      <c r="N59" s="22">
        <f>('BFI Scores'!S59-'BFI Scores'!D59)^2</f>
        <v>2.3375012345679043</v>
      </c>
      <c r="O59" s="22">
        <f>('BFI Scores'!T59-'BFI Scores'!E59)^2</f>
        <v>0.24255624999999972</v>
      </c>
      <c r="P59" s="22">
        <f>('BFI Scores'!U59-'BFI Scores'!F59)^2</f>
        <v>0.57759999999999967</v>
      </c>
      <c r="Q59" s="22">
        <f>('BFI Scores'!V59-'BFI Scores'!B59)^2</f>
        <v>0.35402500000000026</v>
      </c>
      <c r="R59" s="22">
        <f>('BFI Scores'!W59-'BFI Scores'!C59)^2</f>
        <v>0.11864197530863899</v>
      </c>
      <c r="S59" s="22">
        <f>('BFI Scores'!X59-'BFI Scores'!D59)^2</f>
        <v>1.2002419753086513</v>
      </c>
      <c r="T59" s="22">
        <f>('BFI Scores'!Y59-'BFI Scores'!E59)^2</f>
        <v>7.8399999999999886E-2</v>
      </c>
      <c r="U59" s="22">
        <f>('BFI Scores'!Z59-'BFI Scores'!F59)^2</f>
        <v>7.8399999999999886E-2</v>
      </c>
      <c r="V59" s="29">
        <f>('BFI Scores'!AA59-'BFI Scores'!B59)^2</f>
        <v>0.26780625000000008</v>
      </c>
      <c r="W59" s="29">
        <f>('BFI Scores'!AB59-'BFI Scores'!C59)^2</f>
        <v>2.927901234567897</v>
      </c>
      <c r="X59" s="29">
        <f>('BFI Scores'!AC59-'BFI Scores'!D59)^2</f>
        <v>2.8373530864197378</v>
      </c>
      <c r="Y59" s="29">
        <f>('BFI Scores'!AD59-'BFI Scores'!E59)^2</f>
        <v>0.62805624999999998</v>
      </c>
      <c r="Z59" s="29">
        <f>('BFI Scores'!AE59-'BFI Scores'!F59)^2</f>
        <v>1.0000000000000461E-4</v>
      </c>
      <c r="AA59" s="29">
        <f>('BFI Scores'!AF59-'BFI Scores'!B59)^2</f>
        <v>0.73530624999999983</v>
      </c>
      <c r="AB59" s="29">
        <f>('BFI Scores'!AG59-'BFI Scores'!C59)^2</f>
        <v>0.53777777777778768</v>
      </c>
      <c r="AC59" s="29">
        <f>('BFI Scores'!AH59-'BFI Scores'!D59)^2</f>
        <v>0.21364938271604722</v>
      </c>
      <c r="AD59" s="29">
        <f>('BFI Scores'!AI59-'BFI Scores'!E59)^2</f>
        <v>1.5438062499999998</v>
      </c>
      <c r="AE59" s="29">
        <f>('BFI Scores'!AJ59-'BFI Scores'!F59)^2</f>
        <v>6.2500000000000222E-2</v>
      </c>
      <c r="AF59" s="23">
        <f t="shared" si="6"/>
        <v>1.020020756172842</v>
      </c>
      <c r="AG59" s="23">
        <f t="shared" si="7"/>
        <v>1.0500680401234572</v>
      </c>
      <c r="AH59" s="23">
        <f t="shared" si="8"/>
        <v>1.4423649691358005</v>
      </c>
      <c r="AI59" s="23">
        <f t="shared" si="9"/>
        <v>0.36594179012345801</v>
      </c>
      <c r="AJ59" s="30">
        <f t="shared" si="10"/>
        <v>1.3322433641975269</v>
      </c>
      <c r="AK59" s="30">
        <f t="shared" si="11"/>
        <v>0.61860793209876697</v>
      </c>
    </row>
    <row r="60" spans="1:37" x14ac:dyDescent="0.2">
      <c r="A60" s="21">
        <v>61444</v>
      </c>
      <c r="B60" s="22">
        <f>('BFI Scores'!G60-'BFI Scores'!B60)^2</f>
        <v>0.21390624999999991</v>
      </c>
      <c r="C60" s="22">
        <f>('BFI Scores'!H60-'BFI Scores'!C60)^2</f>
        <v>8.5049382716044855E-3</v>
      </c>
      <c r="D60" s="22">
        <f>('BFI Scores'!I60-'BFI Scores'!D60)^2</f>
        <v>0.16357530864197975</v>
      </c>
      <c r="E60" s="22">
        <f>('BFI Scores'!J60-'BFI Scores'!E60)^2</f>
        <v>2.0093062499999998</v>
      </c>
      <c r="F60" s="22">
        <f>('BFI Scores'!K60-'BFI Scores'!F60)^2</f>
        <v>0.70560000000000056</v>
      </c>
      <c r="G60" s="22">
        <f>('BFI Scores'!L60-'BFI Scores'!B60)^2</f>
        <v>5.0625</v>
      </c>
      <c r="H60" s="22">
        <f>('BFI Scores'!M60-'BFI Scores'!C60)^2</f>
        <v>1.3097530864196544E-2</v>
      </c>
      <c r="I60" s="22">
        <f>('BFI Scores'!N60-'BFI Scores'!D60)^2</f>
        <v>0.1155999999999999</v>
      </c>
      <c r="J60" s="22">
        <f>('BFI Scores'!O60-'BFI Scores'!E60)^2</f>
        <v>4.1208999999999989</v>
      </c>
      <c r="K60" s="22">
        <f>('BFI Scores'!P60-'BFI Scores'!F60)^2</f>
        <v>0.39690000000000042</v>
      </c>
      <c r="L60" s="22">
        <f>('BFI Scores'!Q60-'BFI Scores'!B60)^2</f>
        <v>1.6899999999999995</v>
      </c>
      <c r="M60" s="22">
        <f>('BFI Scores'!R60-'BFI Scores'!C60)^2</f>
        <v>3.043086419753294E-2</v>
      </c>
      <c r="N60" s="22">
        <f>('BFI Scores'!S60-'BFI Scores'!D60)^2</f>
        <v>2.927901234567859E-2</v>
      </c>
      <c r="O60" s="22">
        <f>('BFI Scores'!T60-'BFI Scores'!E60)^2</f>
        <v>0.1958062499999999</v>
      </c>
      <c r="P60" s="22">
        <f>('BFI Scores'!U60-'BFI Scores'!F60)^2</f>
        <v>0.16810000000000011</v>
      </c>
      <c r="Q60" s="22">
        <f>('BFI Scores'!V60-'BFI Scores'!B60)^2</f>
        <v>8.7025000000000006</v>
      </c>
      <c r="R60" s="22">
        <f>('BFI Scores'!W60-'BFI Scores'!C60)^2</f>
        <v>1.6899999999999971E-2</v>
      </c>
      <c r="S60" s="22">
        <f>('BFI Scores'!X60-'BFI Scores'!D60)^2</f>
        <v>2.0037975308642104</v>
      </c>
      <c r="T60" s="22">
        <f>('BFI Scores'!Y60-'BFI Scores'!E60)^2</f>
        <v>2.3028062499999997</v>
      </c>
      <c r="U60" s="22">
        <f>('BFI Scores'!Z60-'BFI Scores'!F60)^2</f>
        <v>0.51840000000000031</v>
      </c>
      <c r="V60" s="29">
        <f>('BFI Scores'!AA60-'BFI Scores'!B60)^2</f>
        <v>1.5625</v>
      </c>
      <c r="W60" s="29">
        <f>('BFI Scores'!AB60-'BFI Scores'!C60)^2</f>
        <v>1.5764197530862882E-2</v>
      </c>
      <c r="X60" s="29">
        <f>('BFI Scores'!AC60-'BFI Scores'!D60)^2</f>
        <v>0.36535308641974762</v>
      </c>
      <c r="Y60" s="29">
        <f>('BFI Scores'!AD60-'BFI Scores'!E60)^2</f>
        <v>1.5750249999999997</v>
      </c>
      <c r="Z60" s="29">
        <f>('BFI Scores'!AE60-'BFI Scores'!F60)^2</f>
        <v>0.39690000000000042</v>
      </c>
      <c r="AA60" s="29">
        <f>('BFI Scores'!AF60-'BFI Scores'!B60)^2</f>
        <v>9.6099999999999977</v>
      </c>
      <c r="AB60" s="29">
        <f>('BFI Scores'!AG60-'BFI Scores'!C60)^2</f>
        <v>1.3444444444446694E-3</v>
      </c>
      <c r="AC60" s="29">
        <f>('BFI Scores'!AH60-'BFI Scores'!D60)^2</f>
        <v>0.54431604938271916</v>
      </c>
      <c r="AD60" s="29">
        <f>('BFI Scores'!AI60-'BFI Scores'!E60)^2</f>
        <v>4.2745562499999998</v>
      </c>
      <c r="AE60" s="29">
        <f>('BFI Scores'!AJ60-'BFI Scores'!F60)^2</f>
        <v>0.53289999999999993</v>
      </c>
      <c r="AF60" s="23">
        <f t="shared" si="6"/>
        <v>0.62017854938271688</v>
      </c>
      <c r="AG60" s="23">
        <f t="shared" si="7"/>
        <v>1.941799506172839</v>
      </c>
      <c r="AH60" s="23">
        <f t="shared" si="8"/>
        <v>0.4227232253086422</v>
      </c>
      <c r="AI60" s="23">
        <f t="shared" si="9"/>
        <v>2.7088807561728419</v>
      </c>
      <c r="AJ60" s="30">
        <f t="shared" si="10"/>
        <v>0.7831084567901222</v>
      </c>
      <c r="AK60" s="30">
        <f t="shared" si="11"/>
        <v>2.9926233487654321</v>
      </c>
    </row>
    <row r="61" spans="1:37" x14ac:dyDescent="0.2">
      <c r="A61" s="21">
        <v>62828</v>
      </c>
      <c r="B61" s="22">
        <f>('BFI Scores'!G61-'BFI Scores'!B61)^2</f>
        <v>0.78765625000000028</v>
      </c>
      <c r="C61" s="22">
        <f>('BFI Scores'!H61-'BFI Scores'!C61)^2</f>
        <v>8.0908641975312209E-2</v>
      </c>
      <c r="D61" s="22">
        <f>('BFI Scores'!I61-'BFI Scores'!D61)^2</f>
        <v>0.18777777777777491</v>
      </c>
      <c r="E61" s="22">
        <f>('BFI Scores'!J61-'BFI Scores'!E61)^2</f>
        <v>0.26265624999999998</v>
      </c>
      <c r="F61" s="22">
        <f>('BFI Scores'!K61-'BFI Scores'!F61)^2</f>
        <v>1.8225000000000002</v>
      </c>
      <c r="G61" s="22">
        <f>('BFI Scores'!L61-'BFI Scores'!B61)^2</f>
        <v>0.2756249999999999</v>
      </c>
      <c r="H61" s="22">
        <f>('BFI Scores'!M61-'BFI Scores'!C61)^2</f>
        <v>0.19164938271605098</v>
      </c>
      <c r="I61" s="22">
        <f>('BFI Scores'!N61-'BFI Scores'!D61)^2</f>
        <v>2.2167901234567928</v>
      </c>
      <c r="J61" s="22">
        <f>('BFI Scores'!O61-'BFI Scores'!E61)^2</f>
        <v>6.8906249999999974E-2</v>
      </c>
      <c r="K61" s="22">
        <f>('BFI Scores'!P61-'BFI Scores'!F61)^2</f>
        <v>1.3924000000000003</v>
      </c>
      <c r="L61" s="22">
        <f>('BFI Scores'!Q61-'BFI Scores'!B61)^2</f>
        <v>3.90625E-3</v>
      </c>
      <c r="M61" s="22">
        <f>('BFI Scores'!R61-'BFI Scores'!C61)^2</f>
        <v>3.8716049382725944E-3</v>
      </c>
      <c r="N61" s="22">
        <f>('BFI Scores'!S61-'BFI Scores'!D61)^2</f>
        <v>4.0445679012345641</v>
      </c>
      <c r="O61" s="22">
        <f>('BFI Scores'!T61-'BFI Scores'!E61)^2</f>
        <v>0.50765624999999992</v>
      </c>
      <c r="P61" s="22">
        <f>('BFI Scores'!U61-'BFI Scores'!F61)^2</f>
        <v>1.1448999999999996</v>
      </c>
      <c r="Q61" s="22">
        <f>('BFI Scores'!V61-'BFI Scores'!B61)^2</f>
        <v>1.2939062500000005</v>
      </c>
      <c r="R61" s="22">
        <f>('BFI Scores'!W61-'BFI Scores'!C61)^2</f>
        <v>1.3767111111111279</v>
      </c>
      <c r="S61" s="22">
        <f>('BFI Scores'!X61-'BFI Scores'!D61)^2</f>
        <v>7.7779012345679082</v>
      </c>
      <c r="T61" s="22">
        <f>('BFI Scores'!Y61-'BFI Scores'!E61)^2</f>
        <v>9.922500000000003</v>
      </c>
      <c r="U61" s="22">
        <f>('BFI Scores'!Z61-'BFI Scores'!F61)^2</f>
        <v>0.19359999999999997</v>
      </c>
      <c r="V61" s="29">
        <f>('BFI Scores'!AA61-'BFI Scores'!B61)^2</f>
        <v>1.8906250000000048E-2</v>
      </c>
      <c r="W61" s="29">
        <f>('BFI Scores'!AB61-'BFI Scores'!C61)^2</f>
        <v>3.1604938271614821E-4</v>
      </c>
      <c r="X61" s="29">
        <f>('BFI Scores'!AC61-'BFI Scores'!D61)^2</f>
        <v>1.9290123456790158</v>
      </c>
      <c r="Y61" s="29">
        <f>('BFI Scores'!AD61-'BFI Scores'!E61)^2</f>
        <v>0.3600000000000001</v>
      </c>
      <c r="Z61" s="29">
        <f>('BFI Scores'!AE61-'BFI Scores'!F61)^2</f>
        <v>0.88359999999999994</v>
      </c>
      <c r="AA61" s="29">
        <f>('BFI Scores'!AF61-'BFI Scores'!B61)^2</f>
        <v>1.5625000000000445E-4</v>
      </c>
      <c r="AB61" s="29">
        <f>('BFI Scores'!AG61-'BFI Scores'!C61)^2</f>
        <v>0.19164938271605098</v>
      </c>
      <c r="AC61" s="29">
        <f>('BFI Scores'!AH61-'BFI Scores'!D61)^2</f>
        <v>6.8179012345678949</v>
      </c>
      <c r="AD61" s="29">
        <f>('BFI Scores'!AI61-'BFI Scores'!E61)^2</f>
        <v>0.140625</v>
      </c>
      <c r="AE61" s="29">
        <f>('BFI Scores'!AJ61-'BFI Scores'!F61)^2</f>
        <v>1.4641</v>
      </c>
      <c r="AF61" s="23">
        <f t="shared" si="6"/>
        <v>0.62829978395061747</v>
      </c>
      <c r="AG61" s="23">
        <f t="shared" si="7"/>
        <v>0.82907415123456885</v>
      </c>
      <c r="AH61" s="23">
        <f t="shared" si="8"/>
        <v>1.1409804012345675</v>
      </c>
      <c r="AI61" s="23">
        <f t="shared" si="9"/>
        <v>4.1129237191358081</v>
      </c>
      <c r="AJ61" s="30">
        <f t="shared" si="10"/>
        <v>0.63836692901234637</v>
      </c>
      <c r="AK61" s="30">
        <f t="shared" si="11"/>
        <v>1.7228863734567892</v>
      </c>
    </row>
    <row r="62" spans="1:37" x14ac:dyDescent="0.2">
      <c r="A62" s="21">
        <v>63092</v>
      </c>
      <c r="B62" s="22">
        <f>('BFI Scores'!G62-'BFI Scores'!B62)^2</f>
        <v>7.2900000000000006E-2</v>
      </c>
      <c r="C62" s="22">
        <f>('BFI Scores'!H62-'BFI Scores'!C62)^2</f>
        <v>3.8241975308643858E-2</v>
      </c>
      <c r="D62" s="22">
        <f>('BFI Scores'!I62-'BFI Scores'!D62)^2</f>
        <v>0.60493827160494162</v>
      </c>
      <c r="E62" s="22">
        <f>('BFI Scores'!J62-'BFI Scores'!E62)^2</f>
        <v>0.44889999999999991</v>
      </c>
      <c r="F62" s="22">
        <f>('BFI Scores'!K62-'BFI Scores'!F62)^2</f>
        <v>2.1024999999999991</v>
      </c>
      <c r="G62" s="22">
        <f>('BFI Scores'!L62-'BFI Scores'!B62)^2</f>
        <v>0.57002499999999989</v>
      </c>
      <c r="H62" s="22">
        <f>('BFI Scores'!M62-'BFI Scores'!C62)^2</f>
        <v>1.6612345679012732E-2</v>
      </c>
      <c r="I62" s="22">
        <f>('BFI Scores'!N62-'BFI Scores'!D62)^2</f>
        <v>0.3600000000000001</v>
      </c>
      <c r="J62" s="22">
        <f>('BFI Scores'!O62-'BFI Scores'!E62)^2</f>
        <v>0.12780624999999995</v>
      </c>
      <c r="K62" s="22">
        <f>('BFI Scores'!P62-'BFI Scores'!F62)^2</f>
        <v>3.4968999999999997</v>
      </c>
      <c r="L62" s="22">
        <f>('BFI Scores'!Q62-'BFI Scores'!B62)^2</f>
        <v>0.44889999999999991</v>
      </c>
      <c r="M62" s="22">
        <f>('BFI Scores'!R62-'BFI Scores'!C62)^2</f>
        <v>5.1377777777778945E-2</v>
      </c>
      <c r="N62" s="22">
        <f>('BFI Scores'!S62-'BFI Scores'!D62)^2</f>
        <v>4.938271604938177E-2</v>
      </c>
      <c r="O62" s="22">
        <f>('BFI Scores'!T62-'BFI Scores'!E62)^2</f>
        <v>0.89302500000000051</v>
      </c>
      <c r="P62" s="22">
        <f>('BFI Scores'!U62-'BFI Scores'!F62)^2</f>
        <v>1.5875999999999995</v>
      </c>
      <c r="Q62" s="22">
        <f>('BFI Scores'!V62-'BFI Scores'!B62)^2</f>
        <v>6.4000000000000116E-3</v>
      </c>
      <c r="R62" s="22">
        <f>('BFI Scores'!W62-'BFI Scores'!C62)^2</f>
        <v>0.76271111111110601</v>
      </c>
      <c r="S62" s="22">
        <f>('BFI Scores'!X62-'BFI Scores'!D62)^2</f>
        <v>0.6579012345678994</v>
      </c>
      <c r="T62" s="22">
        <f>('BFI Scores'!Y62-'BFI Scores'!E62)^2</f>
        <v>3.1773062500000009</v>
      </c>
      <c r="U62" s="22">
        <f>('BFI Scores'!Z62-'BFI Scores'!F62)^2</f>
        <v>3.3488999999999995</v>
      </c>
      <c r="V62" s="29">
        <f>('BFI Scores'!AA62-'BFI Scores'!B62)^2</f>
        <v>1.1183062500000003</v>
      </c>
      <c r="W62" s="29">
        <f>('BFI Scores'!AB62-'BFI Scores'!C62)^2</f>
        <v>3.5999999999999531E-3</v>
      </c>
      <c r="X62" s="29">
        <f>('BFI Scores'!AC62-'BFI Scores'!D62)^2</f>
        <v>1.8982716049382777</v>
      </c>
      <c r="Y62" s="29">
        <f>('BFI Scores'!AD62-'BFI Scores'!E62)^2</f>
        <v>0.77880625000000048</v>
      </c>
      <c r="Z62" s="29">
        <f>('BFI Scores'!AE62-'BFI Scores'!F62)^2</f>
        <v>1.9880999999999991</v>
      </c>
      <c r="AA62" s="29">
        <f>('BFI Scores'!AF62-'BFI Scores'!B62)^2</f>
        <v>2.8899999999999974E-2</v>
      </c>
      <c r="AB62" s="29">
        <f>('BFI Scores'!AG62-'BFI Scores'!C62)^2</f>
        <v>7.1111111111128603E-4</v>
      </c>
      <c r="AC62" s="29">
        <f>('BFI Scores'!AH62-'BFI Scores'!D62)^2</f>
        <v>1.6327160493827215</v>
      </c>
      <c r="AD62" s="29">
        <f>('BFI Scores'!AI62-'BFI Scores'!E62)^2</f>
        <v>1.0660562500000004</v>
      </c>
      <c r="AE62" s="29">
        <f>('BFI Scores'!AJ62-'BFI Scores'!F62)^2</f>
        <v>3.4224999999999994</v>
      </c>
      <c r="AF62" s="23">
        <f t="shared" si="6"/>
        <v>0.65349604938271688</v>
      </c>
      <c r="AG62" s="23">
        <f t="shared" si="7"/>
        <v>0.91426871913580254</v>
      </c>
      <c r="AH62" s="23">
        <f t="shared" si="8"/>
        <v>0.60605709876543212</v>
      </c>
      <c r="AI62" s="23">
        <f t="shared" si="9"/>
        <v>1.5906437191358012</v>
      </c>
      <c r="AJ62" s="30">
        <f t="shared" si="10"/>
        <v>1.1574168209876556</v>
      </c>
      <c r="AK62" s="30">
        <f t="shared" si="11"/>
        <v>1.2301766820987665</v>
      </c>
    </row>
    <row r="63" spans="1:37" x14ac:dyDescent="0.2">
      <c r="A63" s="21">
        <v>63396</v>
      </c>
      <c r="B63" s="22">
        <f>('BFI Scores'!G63-'BFI Scores'!B63)^2</f>
        <v>0.33930625000000053</v>
      </c>
      <c r="C63" s="22">
        <f>('BFI Scores'!H63-'BFI Scores'!C63)^2</f>
        <v>3.443086419753103</v>
      </c>
      <c r="D63" s="22">
        <f>('BFI Scores'!I63-'BFI Scores'!D63)^2</f>
        <v>3.2440012345678979</v>
      </c>
      <c r="E63" s="22">
        <f>('BFI Scores'!J63-'BFI Scores'!E63)^2</f>
        <v>2.1756250000000001</v>
      </c>
      <c r="F63" s="22">
        <f>('BFI Scores'!K63-'BFI Scores'!F63)^2</f>
        <v>4.4099999999999986E-2</v>
      </c>
      <c r="G63" s="22">
        <f>('BFI Scores'!L63-'BFI Scores'!B63)^2</f>
        <v>0.2450250000000001</v>
      </c>
      <c r="H63" s="22">
        <f>('BFI Scores'!M63-'BFI Scores'!C63)^2</f>
        <v>1.2593827160493778</v>
      </c>
      <c r="I63" s="22">
        <f>('BFI Scores'!N63-'BFI Scores'!D63)^2</f>
        <v>3.1250382716049465</v>
      </c>
      <c r="J63" s="22">
        <f>('BFI Scores'!O63-'BFI Scores'!E63)^2</f>
        <v>0.140625</v>
      </c>
      <c r="K63" s="22">
        <f>('BFI Scores'!P63-'BFI Scores'!F63)^2</f>
        <v>8.4100000000000022E-2</v>
      </c>
      <c r="L63" s="22">
        <f>('BFI Scores'!Q63-'BFI Scores'!B63)^2</f>
        <v>9.0000000000001494E-4</v>
      </c>
      <c r="M63" s="22">
        <f>('BFI Scores'!R63-'BFI Scores'!C63)^2</f>
        <v>4.3171604938271706</v>
      </c>
      <c r="N63" s="22">
        <f>('BFI Scores'!S63-'BFI Scores'!D63)^2</f>
        <v>3.4472111111111237</v>
      </c>
      <c r="O63" s="22">
        <f>('BFI Scores'!T63-'BFI Scores'!E63)^2</f>
        <v>1.4701562499999998</v>
      </c>
      <c r="P63" s="22">
        <f>('BFI Scores'!U63-'BFI Scores'!F63)^2</f>
        <v>1.1664000000000001</v>
      </c>
      <c r="Q63" s="22">
        <f>('BFI Scores'!V63-'BFI Scores'!B63)^2</f>
        <v>4.8399999999999888E-2</v>
      </c>
      <c r="R63" s="22">
        <f>('BFI Scores'!W63-'BFI Scores'!C63)^2</f>
        <v>3.6949382716049293</v>
      </c>
      <c r="S63" s="22">
        <f>('BFI Scores'!X63-'BFI Scores'!D63)^2</f>
        <v>3.5721000000000003</v>
      </c>
      <c r="T63" s="22">
        <f>('BFI Scores'!Y63-'BFI Scores'!E63)^2</f>
        <v>1.0764062500000002</v>
      </c>
      <c r="U63" s="22">
        <f>('BFI Scores'!Z63-'BFI Scores'!F63)^2</f>
        <v>0.3600000000000001</v>
      </c>
      <c r="V63" s="29">
        <f>('BFI Scores'!AA63-'BFI Scores'!B63)^2</f>
        <v>0.3249000000000003</v>
      </c>
      <c r="W63" s="29">
        <f>('BFI Scores'!AB63-'BFI Scores'!C63)^2</f>
        <v>3.1211111111111234</v>
      </c>
      <c r="X63" s="29">
        <f>('BFI Scores'!AC63-'BFI Scores'!D63)^2</f>
        <v>3.7420753086419589</v>
      </c>
      <c r="Y63" s="29">
        <f>('BFI Scores'!AD63-'BFI Scores'!E63)^2</f>
        <v>1.4400000000000004</v>
      </c>
      <c r="Z63" s="29">
        <f>('BFI Scores'!AE63-'BFI Scores'!F63)^2</f>
        <v>0.33640000000000009</v>
      </c>
      <c r="AA63" s="29">
        <f>('BFI Scores'!AF63-'BFI Scores'!B63)^2</f>
        <v>0.22089999999999976</v>
      </c>
      <c r="AB63" s="29">
        <f>('BFI Scores'!AG63-'BFI Scores'!C63)^2</f>
        <v>1.1377777777777849</v>
      </c>
      <c r="AC63" s="29">
        <f>('BFI Scores'!AH63-'BFI Scores'!D63)^2</f>
        <v>3.9160012345679056</v>
      </c>
      <c r="AD63" s="29">
        <f>('BFI Scores'!AI63-'BFI Scores'!E63)^2</f>
        <v>1.5625E-2</v>
      </c>
      <c r="AE63" s="29">
        <f>('BFI Scores'!AJ63-'BFI Scores'!F63)^2</f>
        <v>0.17640000000000031</v>
      </c>
      <c r="AF63" s="23">
        <f t="shared" si="6"/>
        <v>1.8492237808642003</v>
      </c>
      <c r="AG63" s="23">
        <f t="shared" si="7"/>
        <v>0.97083419753086486</v>
      </c>
      <c r="AH63" s="23">
        <f t="shared" si="8"/>
        <v>2.0803655709876585</v>
      </c>
      <c r="AI63" s="23">
        <f t="shared" si="9"/>
        <v>1.7503689043209856</v>
      </c>
      <c r="AJ63" s="30">
        <f t="shared" si="10"/>
        <v>1.7928972839506163</v>
      </c>
      <c r="AK63" s="30">
        <f t="shared" si="11"/>
        <v>1.093340802469138</v>
      </c>
    </row>
    <row r="64" spans="1:37" x14ac:dyDescent="0.2">
      <c r="A64" s="21">
        <v>63854</v>
      </c>
      <c r="B64" s="22">
        <f>('BFI Scores'!G64-'BFI Scores'!B64)^2</f>
        <v>5.8806249999999866E-2</v>
      </c>
      <c r="C64" s="22">
        <f>('BFI Scores'!H64-'BFI Scores'!C64)^2</f>
        <v>1.7482716049382663</v>
      </c>
      <c r="D64" s="22">
        <f>('BFI Scores'!I64-'BFI Scores'!D64)^2</f>
        <v>0.23684444444444802</v>
      </c>
      <c r="E64" s="22">
        <f>('BFI Scores'!J64-'BFI Scores'!E64)^2</f>
        <v>2.4025000000000003</v>
      </c>
      <c r="F64" s="22">
        <f>('BFI Scores'!K64-'BFI Scores'!F64)^2</f>
        <v>2.5599999999999904E-2</v>
      </c>
      <c r="G64" s="22">
        <f>('BFI Scores'!L64-'BFI Scores'!B64)^2</f>
        <v>0.84180624999999998</v>
      </c>
      <c r="H64" s="22">
        <f>('BFI Scores'!M64-'BFI Scores'!C64)^2</f>
        <v>4.9382716049372493E-4</v>
      </c>
      <c r="I64" s="22">
        <f>('BFI Scores'!N64-'BFI Scores'!D64)^2</f>
        <v>4.8400000000000089E-2</v>
      </c>
      <c r="J64" s="22">
        <f>('BFI Scores'!O64-'BFI Scores'!E64)^2</f>
        <v>1.5314062499999996</v>
      </c>
      <c r="K64" s="22">
        <f>('BFI Scores'!P64-'BFI Scores'!F64)^2</f>
        <v>3.0625</v>
      </c>
      <c r="L64" s="22">
        <f>('BFI Scores'!Q64-'BFI Scores'!B64)^2</f>
        <v>2.0249999999999938E-3</v>
      </c>
      <c r="M64" s="22">
        <f>('BFI Scores'!R64-'BFI Scores'!C64)^2</f>
        <v>0.71308641975309561</v>
      </c>
      <c r="N64" s="22">
        <f>('BFI Scores'!S64-'BFI Scores'!D64)^2</f>
        <v>0.10240000000000019</v>
      </c>
      <c r="O64" s="22">
        <f>('BFI Scores'!T64-'BFI Scores'!E64)^2</f>
        <v>0.390625</v>
      </c>
      <c r="P64" s="22">
        <f>('BFI Scores'!U64-'BFI Scores'!F64)^2</f>
        <v>4.8399999999999888E-2</v>
      </c>
      <c r="Q64" s="22">
        <f>('BFI Scores'!V64-'BFI Scores'!B64)^2</f>
        <v>0.11730624999999986</v>
      </c>
      <c r="R64" s="22">
        <f>('BFI Scores'!W64-'BFI Scores'!C64)^2</f>
        <v>2.7777777777778914E-2</v>
      </c>
      <c r="S64" s="22">
        <f>('BFI Scores'!X64-'BFI Scores'!D64)^2</f>
        <v>0.13607901234567962</v>
      </c>
      <c r="T64" s="22">
        <f>('BFI Scores'!Y64-'BFI Scores'!E64)^2</f>
        <v>0.28890625000000009</v>
      </c>
      <c r="U64" s="22">
        <f>('BFI Scores'!Z64-'BFI Scores'!F64)^2</f>
        <v>3.2399999999999993</v>
      </c>
      <c r="V64" s="29">
        <f>('BFI Scores'!AA64-'BFI Scores'!B64)^2</f>
        <v>3.2399999999999901E-2</v>
      </c>
      <c r="W64" s="29">
        <f>('BFI Scores'!AB64-'BFI Scores'!C64)^2</f>
        <v>1.7482716049382663</v>
      </c>
      <c r="X64" s="29">
        <f>('BFI Scores'!AC64-'BFI Scores'!D64)^2</f>
        <v>0.10963456790123385</v>
      </c>
      <c r="Y64" s="29">
        <f>('BFI Scores'!AD64-'BFI Scores'!E64)^2</f>
        <v>2.2126562499999993</v>
      </c>
      <c r="Z64" s="29">
        <f>('BFI Scores'!AE64-'BFI Scores'!F64)^2</f>
        <v>5.7599999999999887E-2</v>
      </c>
      <c r="AA64" s="29">
        <f>('BFI Scores'!AF64-'BFI Scores'!B64)^2</f>
        <v>0.38130624999999962</v>
      </c>
      <c r="AB64" s="29">
        <f>('BFI Scores'!AG64-'BFI Scores'!C64)^2</f>
        <v>1.9753086419748997E-3</v>
      </c>
      <c r="AC64" s="29">
        <f>('BFI Scores'!AH64-'BFI Scores'!D64)^2</f>
        <v>3.9116049382717039E-2</v>
      </c>
      <c r="AD64" s="29">
        <f>('BFI Scores'!AI64-'BFI Scores'!E64)^2</f>
        <v>0.34515624999999989</v>
      </c>
      <c r="AE64" s="29">
        <f>('BFI Scores'!AJ64-'BFI Scores'!F64)^2</f>
        <v>1.9321000000000004</v>
      </c>
      <c r="AF64" s="23">
        <f t="shared" si="6"/>
        <v>0.89440445987654282</v>
      </c>
      <c r="AG64" s="23">
        <f t="shared" si="7"/>
        <v>1.0969212654320988</v>
      </c>
      <c r="AH64" s="23">
        <f t="shared" si="8"/>
        <v>0.25130728395061908</v>
      </c>
      <c r="AI64" s="23">
        <f t="shared" si="9"/>
        <v>0.76201385802469157</v>
      </c>
      <c r="AJ64" s="30">
        <f t="shared" si="10"/>
        <v>0.83211248456789977</v>
      </c>
      <c r="AK64" s="30">
        <f t="shared" si="11"/>
        <v>0.53993077160493841</v>
      </c>
    </row>
    <row r="65" spans="1:37" x14ac:dyDescent="0.2">
      <c r="A65" s="21">
        <v>65180</v>
      </c>
      <c r="B65" s="22">
        <f>('BFI Scores'!G65-'BFI Scores'!B65)^2</f>
        <v>0.25</v>
      </c>
      <c r="C65" s="22">
        <f>('BFI Scores'!H65-'BFI Scores'!C65)^2</f>
        <v>2.9698777777778016</v>
      </c>
      <c r="D65" s="22">
        <f>('BFI Scores'!I65-'BFI Scores'!D65)^2</f>
        <v>5.0975604938271717</v>
      </c>
      <c r="E65" s="22">
        <f>('BFI Scores'!J65-'BFI Scores'!E65)^2</f>
        <v>3.0624999999999937E-2</v>
      </c>
      <c r="F65" s="22">
        <f>('BFI Scores'!K65-'BFI Scores'!F65)^2</f>
        <v>3.6480999999999999</v>
      </c>
      <c r="G65" s="22">
        <f>('BFI Scores'!L65-'BFI Scores'!B65)^2</f>
        <v>5.6406249999999915E-2</v>
      </c>
      <c r="H65" s="22">
        <f>('BFI Scores'!M65-'BFI Scores'!C65)^2</f>
        <v>8.2816049382717152E-2</v>
      </c>
      <c r="I65" s="22">
        <f>('BFI Scores'!N65-'BFI Scores'!D65)^2</f>
        <v>2.0290419753086297</v>
      </c>
      <c r="J65" s="22">
        <f>('BFI Scores'!O65-'BFI Scores'!E65)^2</f>
        <v>0.22562500000000008</v>
      </c>
      <c r="K65" s="22">
        <f>('BFI Scores'!P65-'BFI Scores'!F65)^2</f>
        <v>1.5375999999999994</v>
      </c>
      <c r="L65" s="22">
        <f>('BFI Scores'!Q65-'BFI Scores'!B65)^2</f>
        <v>0.30249999999999982</v>
      </c>
      <c r="M65" s="22">
        <f>('BFI Scores'!R65-'BFI Scores'!C65)^2</f>
        <v>2.5635567901234535</v>
      </c>
      <c r="N65" s="22">
        <f>('BFI Scores'!S65-'BFI Scores'!D65)^2</f>
        <v>6.3728197530864481</v>
      </c>
      <c r="O65" s="22">
        <f>('BFI Scores'!T65-'BFI Scores'!E65)^2</f>
        <v>0.21390624999999991</v>
      </c>
      <c r="P65" s="22">
        <f>('BFI Scores'!U65-'BFI Scores'!F65)^2</f>
        <v>4.243599999999998</v>
      </c>
      <c r="Q65" s="22">
        <f>('BFI Scores'!V65-'BFI Scores'!B65)^2</f>
        <v>0.47265625</v>
      </c>
      <c r="R65" s="22">
        <f>('BFI Scores'!W65-'BFI Scores'!C65)^2</f>
        <v>1.5792111111110947</v>
      </c>
      <c r="S65" s="22">
        <f>('BFI Scores'!X65-'BFI Scores'!D65)^2</f>
        <v>3.0508444444444565</v>
      </c>
      <c r="T65" s="22">
        <f>('BFI Scores'!Y65-'BFI Scores'!E65)^2</f>
        <v>1.5314062499999996</v>
      </c>
      <c r="U65" s="22">
        <f>('BFI Scores'!Z65-'BFI Scores'!F65)^2</f>
        <v>3.3489000000000004</v>
      </c>
      <c r="V65" s="29">
        <f>('BFI Scores'!AA65-'BFI Scores'!B65)^2</f>
        <v>0.18062499999999984</v>
      </c>
      <c r="W65" s="29">
        <f>('BFI Scores'!AB65-'BFI Scores'!C65)^2</f>
        <v>3.699211111111099</v>
      </c>
      <c r="X65" s="29">
        <f>('BFI Scores'!AC65-'BFI Scores'!D65)^2</f>
        <v>7.1824000000000012</v>
      </c>
      <c r="Y65" s="29">
        <f>('BFI Scores'!AD65-'BFI Scores'!E65)^2</f>
        <v>3.0624999999999937E-2</v>
      </c>
      <c r="Z65" s="29">
        <f>('BFI Scores'!AE65-'BFI Scores'!F65)^2</f>
        <v>3.6863999999999999</v>
      </c>
      <c r="AA65" s="29">
        <f>('BFI Scores'!AF65-'BFI Scores'!B65)^2</f>
        <v>0.50765624999999992</v>
      </c>
      <c r="AB65" s="29">
        <f>('BFI Scores'!AG65-'BFI Scores'!C65)^2</f>
        <v>2.4544444444442377E-2</v>
      </c>
      <c r="AC65" s="29">
        <f>('BFI Scores'!AH65-'BFI Scores'!D65)^2</f>
        <v>3.5344000000000011</v>
      </c>
      <c r="AD65" s="29">
        <f>('BFI Scores'!AI65-'BFI Scores'!E65)^2</f>
        <v>2.4999999999999823E-3</v>
      </c>
      <c r="AE65" s="29">
        <f>('BFI Scores'!AJ65-'BFI Scores'!F65)^2</f>
        <v>2.3408999999999995</v>
      </c>
      <c r="AF65" s="23">
        <f t="shared" si="6"/>
        <v>2.3992326543209948</v>
      </c>
      <c r="AG65" s="23">
        <f t="shared" si="7"/>
        <v>0.7862978549382692</v>
      </c>
      <c r="AH65" s="23">
        <f t="shared" si="8"/>
        <v>2.7392765586419801</v>
      </c>
      <c r="AI65" s="23">
        <f t="shared" si="9"/>
        <v>1.9966036111111101</v>
      </c>
      <c r="AJ65" s="30">
        <f t="shared" si="10"/>
        <v>2.9558522222222203</v>
      </c>
      <c r="AK65" s="30">
        <f t="shared" si="11"/>
        <v>1.2820001388888886</v>
      </c>
    </row>
    <row r="66" spans="1:37" x14ac:dyDescent="0.2">
      <c r="A66" s="21">
        <v>65534</v>
      </c>
      <c r="B66" s="22">
        <f>('BFI Scores'!G66-'BFI Scores'!B66)^2</f>
        <v>0.91680625000000004</v>
      </c>
      <c r="C66" s="22">
        <f>('BFI Scores'!H66-'BFI Scores'!C66)^2</f>
        <v>3.5847111111111003</v>
      </c>
      <c r="D66" s="22">
        <f>('BFI Scores'!I66-'BFI Scores'!D66)^2</f>
        <v>0.10816790123456871</v>
      </c>
      <c r="E66" s="22">
        <f>('BFI Scores'!J66-'BFI Scores'!E66)^2</f>
        <v>1.1664000000000001</v>
      </c>
      <c r="F66" s="22">
        <f>('BFI Scores'!K66-'BFI Scores'!F66)^2</f>
        <v>1.9320999999999997</v>
      </c>
      <c r="G66" s="22">
        <f>('BFI Scores'!L66-'BFI Scores'!B66)^2</f>
        <v>0.75690000000000024</v>
      </c>
      <c r="H66" s="22">
        <f>('BFI Scores'!M66-'BFI Scores'!C66)^2</f>
        <v>2.2300444444444345</v>
      </c>
      <c r="I66" s="22">
        <f>('BFI Scores'!N66-'BFI Scores'!D66)^2</f>
        <v>0.23253827160493601</v>
      </c>
      <c r="J66" s="22">
        <f>('BFI Scores'!O66-'BFI Scores'!E66)^2</f>
        <v>5.9658062499999991</v>
      </c>
      <c r="K66" s="22">
        <f>('BFI Scores'!P66-'BFI Scores'!F66)^2</f>
        <v>0.34809999999999985</v>
      </c>
      <c r="L66" s="22">
        <f>('BFI Scores'!Q66-'BFI Scores'!B66)^2</f>
        <v>2.6244000000000005</v>
      </c>
      <c r="M66" s="22">
        <f>('BFI Scores'!R66-'BFI Scores'!C66)^2</f>
        <v>2.7926123456790082</v>
      </c>
      <c r="N66" s="22">
        <f>('BFI Scores'!S66-'BFI Scores'!D66)^2</f>
        <v>2.6123456790122092E-3</v>
      </c>
      <c r="O66" s="22">
        <f>('BFI Scores'!T66-'BFI Scores'!E66)^2</f>
        <v>2.576025</v>
      </c>
      <c r="P66" s="22">
        <f>('BFI Scores'!U66-'BFI Scores'!F66)^2</f>
        <v>1.0200999999999996</v>
      </c>
      <c r="Q66" s="22">
        <f>('BFI Scores'!V66-'BFI Scores'!B66)^2</f>
        <v>2.1243062500000001</v>
      </c>
      <c r="R66" s="22">
        <f>('BFI Scores'!W66-'BFI Scores'!C66)^2</f>
        <v>1.7896493827160551</v>
      </c>
      <c r="S66" s="22">
        <f>('BFI Scores'!X66-'BFI Scores'!D66)^2</f>
        <v>4.2711111111112532E-2</v>
      </c>
      <c r="T66" s="22">
        <f>('BFI Scores'!Y66-'BFI Scores'!E66)^2</f>
        <v>2.37930625</v>
      </c>
      <c r="U66" s="22">
        <f>('BFI Scores'!Z66-'BFI Scores'!F66)^2</f>
        <v>1.6000000000000029E-3</v>
      </c>
      <c r="V66" s="29">
        <f>('BFI Scores'!AA66-'BFI Scores'!B66)^2</f>
        <v>0.99002500000000027</v>
      </c>
      <c r="W66" s="29">
        <f>('BFI Scores'!AB66-'BFI Scores'!C66)^2</f>
        <v>3.8416000000000015</v>
      </c>
      <c r="X66" s="29">
        <f>('BFI Scores'!AC66-'BFI Scores'!D66)^2</f>
        <v>5.7599999999999887E-2</v>
      </c>
      <c r="Y66" s="29">
        <f>('BFI Scores'!AD66-'BFI Scores'!E66)^2</f>
        <v>1.7030249999999993</v>
      </c>
      <c r="Z66" s="29">
        <f>('BFI Scores'!AE66-'BFI Scores'!F66)^2</f>
        <v>1.9320999999999997</v>
      </c>
      <c r="AA66" s="29">
        <f>('BFI Scores'!AF66-'BFI Scores'!B66)^2</f>
        <v>0.75690000000000024</v>
      </c>
      <c r="AB66" s="29">
        <f>('BFI Scores'!AG66-'BFI Scores'!C66)^2</f>
        <v>1.9724641975308796</v>
      </c>
      <c r="AC66" s="29">
        <f>('BFI Scores'!AH66-'BFI Scores'!D66)^2</f>
        <v>0.22194567901234477</v>
      </c>
      <c r="AD66" s="29">
        <f>('BFI Scores'!AI66-'BFI Scores'!E66)^2</f>
        <v>5.6643999999999997</v>
      </c>
      <c r="AE66" s="29">
        <f>('BFI Scores'!AJ66-'BFI Scores'!F66)^2</f>
        <v>0.23039999999999999</v>
      </c>
      <c r="AF66" s="23">
        <f t="shared" ref="AF66:AF96" si="12">AVERAGE(B66:F66)</f>
        <v>1.5416370524691339</v>
      </c>
      <c r="AG66" s="23">
        <f t="shared" ref="AG66:AG96" si="13">AVERAGE(G66:K66)</f>
        <v>1.9066777932098742</v>
      </c>
      <c r="AH66" s="23">
        <f t="shared" ref="AH66:AH96" si="14">AVERAGE(L66:P66)</f>
        <v>1.8031499382716043</v>
      </c>
      <c r="AI66" s="23">
        <f t="shared" ref="AI66:AI96" si="15">AVERAGE(Q66:U66)</f>
        <v>1.2675145987654335</v>
      </c>
      <c r="AJ66" s="30">
        <f t="shared" ref="AJ66:AJ96" si="16">AVERAGE(V66:Z66)</f>
        <v>1.7048700000000001</v>
      </c>
      <c r="AK66" s="30">
        <f t="shared" ref="AK66:AK96" si="17">AVERAGE(AA66:AE66)</f>
        <v>1.7692219753086449</v>
      </c>
    </row>
    <row r="67" spans="1:37" x14ac:dyDescent="0.2">
      <c r="A67" s="21">
        <v>65978</v>
      </c>
      <c r="B67" s="22">
        <f>('BFI Scores'!G67-'BFI Scores'!B67)^2</f>
        <v>0.51840000000000031</v>
      </c>
      <c r="C67" s="22">
        <f>('BFI Scores'!H67-'BFI Scores'!C67)^2</f>
        <v>0.88987777777777111</v>
      </c>
      <c r="D67" s="22">
        <f>('BFI Scores'!I67-'BFI Scores'!D67)^2</f>
        <v>1.1808444444444512</v>
      </c>
      <c r="E67" s="22">
        <f>('BFI Scores'!J67-'BFI Scores'!E67)^2</f>
        <v>0.140625</v>
      </c>
      <c r="F67" s="22">
        <f>('BFI Scores'!K67-'BFI Scores'!F67)^2</f>
        <v>0.79210000000000025</v>
      </c>
      <c r="G67" s="22">
        <f>('BFI Scores'!L67-'BFI Scores'!B67)^2</f>
        <v>0.55502500000000021</v>
      </c>
      <c r="H67" s="22">
        <f>('BFI Scores'!M67-'BFI Scores'!C67)^2</f>
        <v>0.31985308641974658</v>
      </c>
      <c r="I67" s="22">
        <f>('BFI Scores'!N67-'BFI Scores'!D67)^2</f>
        <v>3.8590419753086627</v>
      </c>
      <c r="J67" s="22">
        <f>('BFI Scores'!O67-'BFI Scores'!E67)^2</f>
        <v>6.5024999999999995</v>
      </c>
      <c r="K67" s="22">
        <f>('BFI Scores'!P67-'BFI Scores'!F67)^2</f>
        <v>0.72250000000000014</v>
      </c>
      <c r="L67" s="22">
        <f>('BFI Scores'!Q67-'BFI Scores'!B67)^2</f>
        <v>3.7830250000000012</v>
      </c>
      <c r="M67" s="22">
        <f>('BFI Scores'!R67-'BFI Scores'!C67)^2</f>
        <v>0.12563086419752764</v>
      </c>
      <c r="N67" s="22">
        <f>('BFI Scores'!S67-'BFI Scores'!D67)^2</f>
        <v>0.25896790123456909</v>
      </c>
      <c r="O67" s="22">
        <f>('BFI Scores'!T67-'BFI Scores'!E67)^2</f>
        <v>7.5625000000000192E-2</v>
      </c>
      <c r="P67" s="22">
        <f>('BFI Scores'!U67-'BFI Scores'!F67)^2</f>
        <v>0.4899999999999996</v>
      </c>
      <c r="Q67" s="22">
        <f>('BFI Scores'!V67-'BFI Scores'!B67)^2</f>
        <v>2.5440250000000004</v>
      </c>
      <c r="R67" s="22">
        <f>('BFI Scores'!W67-'BFI Scores'!C67)^2</f>
        <v>6.4741975308639621E-2</v>
      </c>
      <c r="S67" s="22">
        <f>('BFI Scores'!X67-'BFI Scores'!D67)^2</f>
        <v>1.5431160493827103</v>
      </c>
      <c r="T67" s="22">
        <f>('BFI Scores'!Y67-'BFI Scores'!E67)^2</f>
        <v>1.1024999999999996</v>
      </c>
      <c r="U67" s="22">
        <f>('BFI Scores'!Z67-'BFI Scores'!F67)^2</f>
        <v>2.4024999999999994</v>
      </c>
      <c r="V67" s="29">
        <f>('BFI Scores'!AA67-'BFI Scores'!B67)^2</f>
        <v>2.2350250000000003</v>
      </c>
      <c r="W67" s="29">
        <f>('BFI Scores'!AB67-'BFI Scores'!C67)^2</f>
        <v>0.48844567901234692</v>
      </c>
      <c r="X67" s="29">
        <f>('BFI Scores'!AC67-'BFI Scores'!D67)^2</f>
        <v>0.24778271604938479</v>
      </c>
      <c r="Y67" s="29">
        <f>('BFI Scores'!AD67-'BFI Scores'!E67)^2</f>
        <v>0.10562500000000012</v>
      </c>
      <c r="Z67" s="29">
        <f>('BFI Scores'!AE67-'BFI Scores'!F67)^2</f>
        <v>1</v>
      </c>
      <c r="AA67" s="29">
        <f>('BFI Scores'!AF67-'BFI Scores'!B67)^2</f>
        <v>0.71402500000000035</v>
      </c>
      <c r="AB67" s="29">
        <f>('BFI Scores'!AG67-'BFI Scores'!C67)^2</f>
        <v>0.48844567901234692</v>
      </c>
      <c r="AC67" s="29">
        <f>('BFI Scores'!AH67-'BFI Scores'!D67)^2</f>
        <v>1.5431160493827103</v>
      </c>
      <c r="AD67" s="29">
        <f>('BFI Scores'!AI67-'BFI Scores'!E67)^2</f>
        <v>4</v>
      </c>
      <c r="AE67" s="29">
        <f>('BFI Scores'!AJ67-'BFI Scores'!F67)^2</f>
        <v>0.23039999999999999</v>
      </c>
      <c r="AF67" s="23">
        <f t="shared" si="12"/>
        <v>0.7043694444444446</v>
      </c>
      <c r="AG67" s="23">
        <f t="shared" si="13"/>
        <v>2.3917840123456822</v>
      </c>
      <c r="AH67" s="23">
        <f t="shared" si="14"/>
        <v>0.94664975308641952</v>
      </c>
      <c r="AI67" s="23">
        <f t="shared" si="15"/>
        <v>1.53137660493827</v>
      </c>
      <c r="AJ67" s="30">
        <f t="shared" si="16"/>
        <v>0.81537567901234631</v>
      </c>
      <c r="AK67" s="30">
        <f t="shared" si="17"/>
        <v>1.3951973456790117</v>
      </c>
    </row>
    <row r="68" spans="1:37" x14ac:dyDescent="0.2">
      <c r="A68" s="21">
        <v>67900</v>
      </c>
      <c r="B68" s="22">
        <f>('BFI Scores'!G68-'BFI Scores'!B68)^2</f>
        <v>3.999999999999998E-2</v>
      </c>
      <c r="C68" s="22">
        <f>('BFI Scores'!H68-'BFI Scores'!C68)^2</f>
        <v>2.2167901234568219E-2</v>
      </c>
      <c r="D68" s="22">
        <f>('BFI Scores'!I68-'BFI Scores'!D68)^2</f>
        <v>7.9085938271604785</v>
      </c>
      <c r="E68" s="22">
        <f>('BFI Scores'!J68-'BFI Scores'!E68)^2</f>
        <v>0.27040000000000047</v>
      </c>
      <c r="F68" s="22">
        <f>('BFI Scores'!K68-'BFI Scores'!F68)^2</f>
        <v>3.6099999999999981</v>
      </c>
      <c r="G68" s="22">
        <f>('BFI Scores'!L68-'BFI Scores'!B68)^2</f>
        <v>1.265625000000001E-2</v>
      </c>
      <c r="H68" s="22">
        <f>('BFI Scores'!M68-'BFI Scores'!C68)^2</f>
        <v>4.6464197530866086E-2</v>
      </c>
      <c r="I68" s="22">
        <f>('BFI Scores'!N68-'BFI Scores'!D68)^2</f>
        <v>6.1448901234567934</v>
      </c>
      <c r="J68" s="22">
        <f>('BFI Scores'!O68-'BFI Scores'!E68)^2</f>
        <v>1.0562499999999839E-3</v>
      </c>
      <c r="K68" s="22">
        <f>('BFI Scores'!P68-'BFI Scores'!F68)^2</f>
        <v>4.4520999999999979</v>
      </c>
      <c r="L68" s="22">
        <f>('BFI Scores'!Q68-'BFI Scores'!B68)^2</f>
        <v>0.34515624999999989</v>
      </c>
      <c r="M68" s="22">
        <f>('BFI Scores'!R68-'BFI Scores'!C68)^2</f>
        <v>1.0908641975309826E-2</v>
      </c>
      <c r="N68" s="22">
        <f>('BFI Scores'!S68-'BFI Scores'!D68)^2</f>
        <v>6.035211111111126</v>
      </c>
      <c r="O68" s="22">
        <f>('BFI Scores'!T68-'BFI Scores'!E68)^2</f>
        <v>5.8806249999999866E-2</v>
      </c>
      <c r="P68" s="22">
        <f>('BFI Scores'!U68-'BFI Scores'!F68)^2</f>
        <v>1.2995999999999992</v>
      </c>
      <c r="Q68" s="22">
        <f>('BFI Scores'!V68-'BFI Scores'!B68)^2</f>
        <v>1.4400000000000004</v>
      </c>
      <c r="R68" s="22">
        <f>('BFI Scores'!W68-'BFI Scores'!C68)^2</f>
        <v>0.61187160493826842</v>
      </c>
      <c r="S68" s="22">
        <f>('BFI Scores'!X68-'BFI Scores'!D68)^2</f>
        <v>4.6992604938271683</v>
      </c>
      <c r="T68" s="22">
        <f>('BFI Scores'!Y68-'BFI Scores'!E68)^2</f>
        <v>4.3264000000000005</v>
      </c>
      <c r="U68" s="22">
        <f>('BFI Scores'!Z68-'BFI Scores'!F68)^2</f>
        <v>6.6048999999999971</v>
      </c>
      <c r="V68" s="29">
        <f>('BFI Scores'!AA68-'BFI Scores'!B68)^2</f>
        <v>9.0000000000000024E-2</v>
      </c>
      <c r="W68" s="29">
        <f>('BFI Scores'!AB68-'BFI Scores'!C68)^2</f>
        <v>3.6000000000000064E-3</v>
      </c>
      <c r="X68" s="29">
        <f>('BFI Scores'!AC68-'BFI Scores'!D68)^2</f>
        <v>5.7120999999999986</v>
      </c>
      <c r="Y68" s="29">
        <f>('BFI Scores'!AD68-'BFI Scores'!E68)^2</f>
        <v>4.8399999999999888E-2</v>
      </c>
      <c r="Z68" s="29">
        <f>('BFI Scores'!AE68-'BFI Scores'!F68)^2</f>
        <v>1.0608999999999995</v>
      </c>
      <c r="AA68" s="29">
        <f>('BFI Scores'!AF68-'BFI Scores'!B68)^2</f>
        <v>0.13140625000000003</v>
      </c>
      <c r="AB68" s="29">
        <f>('BFI Scores'!AG68-'BFI Scores'!C68)^2</f>
        <v>0.24337777777777456</v>
      </c>
      <c r="AC68" s="29">
        <f>('BFI Scores'!AH68-'BFI Scores'!D68)^2</f>
        <v>7.6605938271605041</v>
      </c>
      <c r="AD68" s="29">
        <f>('BFI Scores'!AI68-'BFI Scores'!E68)^2</f>
        <v>3.0249999999999687E-3</v>
      </c>
      <c r="AE68" s="29">
        <f>('BFI Scores'!AJ68-'BFI Scores'!F68)^2</f>
        <v>4.4943999999999988</v>
      </c>
      <c r="AF68" s="23">
        <f t="shared" si="12"/>
        <v>2.3702323456790091</v>
      </c>
      <c r="AG68" s="23">
        <f t="shared" si="13"/>
        <v>2.1314333641975316</v>
      </c>
      <c r="AH68" s="23">
        <f t="shared" si="14"/>
        <v>1.5499364506172868</v>
      </c>
      <c r="AI68" s="23">
        <f t="shared" si="15"/>
        <v>3.536486419753087</v>
      </c>
      <c r="AJ68" s="30">
        <f t="shared" si="16"/>
        <v>1.3829999999999996</v>
      </c>
      <c r="AK68" s="30">
        <f t="shared" si="17"/>
        <v>2.5065605709876553</v>
      </c>
    </row>
    <row r="69" spans="1:37" x14ac:dyDescent="0.2">
      <c r="A69" s="21">
        <v>69820</v>
      </c>
      <c r="B69" s="22">
        <f>('BFI Scores'!G69-'BFI Scores'!B69)^2</f>
        <v>1.1556250000000003</v>
      </c>
      <c r="C69" s="22">
        <f>('BFI Scores'!H69-'BFI Scores'!C69)^2</f>
        <v>4.5986419753088606E-2</v>
      </c>
      <c r="D69" s="22">
        <f>('BFI Scores'!I69-'BFI Scores'!D69)^2</f>
        <v>0.71308641975309561</v>
      </c>
      <c r="E69" s="22">
        <f>('BFI Scores'!J69-'BFI Scores'!E69)^2</f>
        <v>0.86955625000000025</v>
      </c>
      <c r="F69" s="22">
        <f>('BFI Scores'!K69-'BFI Scores'!F69)^2</f>
        <v>0.10240000000000019</v>
      </c>
      <c r="G69" s="22">
        <f>('BFI Scores'!L69-'BFI Scores'!B69)^2</f>
        <v>0.34515624999999989</v>
      </c>
      <c r="H69" s="22">
        <f>('BFI Scores'!M69-'BFI Scores'!C69)^2</f>
        <v>0.25334444444444137</v>
      </c>
      <c r="I69" s="22">
        <f>('BFI Scores'!N69-'BFI Scores'!D69)^2</f>
        <v>1.6044444444444532</v>
      </c>
      <c r="J69" s="22">
        <f>('BFI Scores'!O69-'BFI Scores'!E69)^2</f>
        <v>0.77880625000000048</v>
      </c>
      <c r="K69" s="22">
        <f>('BFI Scores'!P69-'BFI Scores'!F69)^2</f>
        <v>9.0000000000001494E-4</v>
      </c>
      <c r="L69" s="22">
        <f>('BFI Scores'!Q69-'BFI Scores'!B69)^2</f>
        <v>1.12890625</v>
      </c>
      <c r="M69" s="22">
        <f>('BFI Scores'!R69-'BFI Scores'!C69)^2</f>
        <v>0.62761604938271243</v>
      </c>
      <c r="N69" s="22">
        <f>('BFI Scores'!S69-'BFI Scores'!D69)^2</f>
        <v>2.927901234567897</v>
      </c>
      <c r="O69" s="22">
        <f>('BFI Scores'!T69-'BFI Scores'!E69)^2</f>
        <v>0.96530624999999981</v>
      </c>
      <c r="P69" s="22">
        <f>('BFI Scores'!U69-'BFI Scores'!F69)^2</f>
        <v>0.59289999999999998</v>
      </c>
      <c r="Q69" s="22">
        <f>('BFI Scores'!V69-'BFI Scores'!B69)^2</f>
        <v>1.2939062500000005</v>
      </c>
      <c r="R69" s="22">
        <f>('BFI Scores'!W69-'BFI Scores'!C69)^2</f>
        <v>0.57591234567901373</v>
      </c>
      <c r="S69" s="22">
        <f>('BFI Scores'!X69-'BFI Scores'!D69)^2</f>
        <v>0.80999999999999983</v>
      </c>
      <c r="T69" s="22">
        <f>('BFI Scores'!Y69-'BFI Scores'!E69)^2</f>
        <v>0.22089999999999976</v>
      </c>
      <c r="U69" s="22">
        <f>('BFI Scores'!Z69-'BFI Scores'!F69)^2</f>
        <v>9.9999999999995736E-5</v>
      </c>
      <c r="V69" s="29">
        <f>('BFI Scores'!AA69-'BFI Scores'!B69)^2</f>
        <v>1.5314062499999996</v>
      </c>
      <c r="W69" s="29">
        <f>('BFI Scores'!AB69-'BFI Scores'!C69)^2</f>
        <v>7.9023456790122695E-2</v>
      </c>
      <c r="X69" s="29">
        <f>('BFI Scores'!AC69-'BFI Scores'!D69)^2</f>
        <v>1.493827160493822</v>
      </c>
      <c r="Y69" s="29">
        <f>('BFI Scores'!AD69-'BFI Scores'!E69)^2</f>
        <v>0.99002500000000027</v>
      </c>
      <c r="Z69" s="29">
        <f>('BFI Scores'!AE69-'BFI Scores'!F69)^2</f>
        <v>0.22090000000000018</v>
      </c>
      <c r="AA69" s="29">
        <f>('BFI Scores'!AF69-'BFI Scores'!B69)^2</f>
        <v>0.63999999999999968</v>
      </c>
      <c r="AB69" s="29">
        <f>('BFI Scores'!AG69-'BFI Scores'!C69)^2</f>
        <v>0.46391234567901096</v>
      </c>
      <c r="AC69" s="29">
        <f>('BFI Scores'!AH69-'BFI Scores'!D69)^2</f>
        <v>3.567901234567906</v>
      </c>
      <c r="AD69" s="29">
        <f>('BFI Scores'!AI69-'BFI Scores'!E69)^2</f>
        <v>0.82355624999999955</v>
      </c>
      <c r="AE69" s="29">
        <f>('BFI Scores'!AJ69-'BFI Scores'!F69)^2</f>
        <v>1.9600000000000034E-2</v>
      </c>
      <c r="AF69" s="23">
        <f t="shared" si="12"/>
        <v>0.57733081790123697</v>
      </c>
      <c r="AG69" s="23">
        <f t="shared" si="13"/>
        <v>0.59653027777777912</v>
      </c>
      <c r="AH69" s="23">
        <f t="shared" si="14"/>
        <v>1.2485259567901217</v>
      </c>
      <c r="AI69" s="23">
        <f t="shared" si="15"/>
        <v>0.58016371913580278</v>
      </c>
      <c r="AJ69" s="30">
        <f t="shared" si="16"/>
        <v>0.86303637345678896</v>
      </c>
      <c r="AK69" s="30">
        <f t="shared" si="17"/>
        <v>1.102993966049383</v>
      </c>
    </row>
    <row r="70" spans="1:37" x14ac:dyDescent="0.2">
      <c r="A70" s="21">
        <v>71586</v>
      </c>
      <c r="B70" s="22">
        <f>('BFI Scores'!G70-'BFI Scores'!B70)^2</f>
        <v>0.44889999999999991</v>
      </c>
      <c r="C70" s="22">
        <f>('BFI Scores'!H70-'BFI Scores'!C70)^2</f>
        <v>0.30740864197530382</v>
      </c>
      <c r="D70" s="22">
        <f>('BFI Scores'!I70-'BFI Scores'!D70)^2</f>
        <v>0.81200123456789974</v>
      </c>
      <c r="E70" s="22">
        <f>('BFI Scores'!J70-'BFI Scores'!E70)^2</f>
        <v>0.96039999999999992</v>
      </c>
      <c r="F70" s="22">
        <f>('BFI Scores'!K70-'BFI Scores'!F70)^2</f>
        <v>9.0000000000001494E-4</v>
      </c>
      <c r="G70" s="22">
        <f>('BFI Scores'!L70-'BFI Scores'!B70)^2</f>
        <v>5.2899999999999989E-2</v>
      </c>
      <c r="H70" s="22">
        <f>('BFI Scores'!M70-'BFI Scores'!C70)^2</f>
        <v>0.42829753086420413</v>
      </c>
      <c r="I70" s="22">
        <f>('BFI Scores'!N70-'BFI Scores'!D70)^2</f>
        <v>1.8405444444444548</v>
      </c>
      <c r="J70" s="22">
        <f>('BFI Scores'!O70-'BFI Scores'!E70)^2</f>
        <v>3.1683999999999992</v>
      </c>
      <c r="K70" s="22">
        <f>('BFI Scores'!P70-'BFI Scores'!F70)^2</f>
        <v>0.40959999999999958</v>
      </c>
      <c r="L70" s="22">
        <f>('BFI Scores'!Q70-'BFI Scores'!B70)^2</f>
        <v>0.63202499999999984</v>
      </c>
      <c r="M70" s="22">
        <f>('BFI Scores'!R70-'BFI Scores'!C70)^2</f>
        <v>1.2345679012319934E-6</v>
      </c>
      <c r="N70" s="22">
        <f>('BFI Scores'!S70-'BFI Scores'!D70)^2</f>
        <v>2.7408641975310007E-2</v>
      </c>
      <c r="O70" s="22">
        <f>('BFI Scores'!T70-'BFI Scores'!E70)^2</f>
        <v>6.0025000000000051E-2</v>
      </c>
      <c r="P70" s="22">
        <f>('BFI Scores'!U70-'BFI Scores'!F70)^2</f>
        <v>3.5999999999999531E-3</v>
      </c>
      <c r="Q70" s="22">
        <f>('BFI Scores'!V70-'BFI Scores'!B70)^2</f>
        <v>3.0625000000000248E-4</v>
      </c>
      <c r="R70" s="22">
        <f>('BFI Scores'!W70-'BFI Scores'!C70)^2</f>
        <v>0.25111234567902141</v>
      </c>
      <c r="S70" s="22">
        <f>('BFI Scores'!X70-'BFI Scores'!D70)^2</f>
        <v>0.2188160493827184</v>
      </c>
      <c r="T70" s="22">
        <f>('BFI Scores'!Y70-'BFI Scores'!E70)^2</f>
        <v>0.28089999999999982</v>
      </c>
      <c r="U70" s="22">
        <f>('BFI Scores'!Z70-'BFI Scores'!F70)^2</f>
        <v>0.3248999999999993</v>
      </c>
      <c r="V70" s="29">
        <f>('BFI Scores'!AA70-'BFI Scores'!B70)^2</f>
        <v>1.2825562500000007</v>
      </c>
      <c r="W70" s="29">
        <f>('BFI Scores'!AB70-'BFI Scores'!C70)^2</f>
        <v>0.30740864197530382</v>
      </c>
      <c r="X70" s="29">
        <f>('BFI Scores'!AC70-'BFI Scores'!D70)^2</f>
        <v>0.2401000000000002</v>
      </c>
      <c r="Y70" s="29">
        <f>('BFI Scores'!AD70-'BFI Scores'!E70)^2</f>
        <v>0.60839999999999972</v>
      </c>
      <c r="Z70" s="29">
        <f>('BFI Scores'!AE70-'BFI Scores'!F70)^2</f>
        <v>6.4000000000000116E-3</v>
      </c>
      <c r="AA70" s="29">
        <f>('BFI Scores'!AF70-'BFI Scores'!B70)^2</f>
        <v>2.1025000000000005E-2</v>
      </c>
      <c r="AB70" s="29">
        <f>('BFI Scores'!AG70-'BFI Scores'!C70)^2</f>
        <v>0.35866790123456888</v>
      </c>
      <c r="AC70" s="29">
        <f>('BFI Scores'!AH70-'BFI Scores'!D70)^2</f>
        <v>1.0022234567901211</v>
      </c>
      <c r="AD70" s="29">
        <f>('BFI Scores'!AI70-'BFI Scores'!E70)^2</f>
        <v>2.6568999999999998</v>
      </c>
      <c r="AE70" s="29">
        <f>('BFI Scores'!AJ70-'BFI Scores'!F70)^2</f>
        <v>0.30249999999999982</v>
      </c>
      <c r="AF70" s="23">
        <f t="shared" si="12"/>
        <v>0.50592197530864069</v>
      </c>
      <c r="AG70" s="23">
        <f t="shared" si="13"/>
        <v>1.1799483950617315</v>
      </c>
      <c r="AH70" s="23">
        <f t="shared" si="14"/>
        <v>0.14461197530864223</v>
      </c>
      <c r="AI70" s="23">
        <f t="shared" si="15"/>
        <v>0.21520692901234781</v>
      </c>
      <c r="AJ70" s="30">
        <f t="shared" si="16"/>
        <v>0.48897297839506093</v>
      </c>
      <c r="AK70" s="30">
        <f t="shared" si="17"/>
        <v>0.86826327160493799</v>
      </c>
    </row>
    <row r="71" spans="1:37" x14ac:dyDescent="0.2">
      <c r="A71" s="21">
        <v>71591</v>
      </c>
      <c r="B71" s="22">
        <f>('BFI Scores'!G71-'BFI Scores'!B71)^2</f>
        <v>0.80999999999999983</v>
      </c>
      <c r="C71" s="22">
        <f>('BFI Scores'!H71-'BFI Scores'!C71)^2</f>
        <v>0.12172345679012371</v>
      </c>
      <c r="D71" s="22">
        <f>('BFI Scores'!I71-'BFI Scores'!D71)^2</f>
        <v>5.0026777777777927</v>
      </c>
      <c r="E71" s="22">
        <f>('BFI Scores'!J71-'BFI Scores'!E71)^2</f>
        <v>0.21390624999999991</v>
      </c>
      <c r="F71" s="22">
        <f>('BFI Scores'!K71-'BFI Scores'!F71)^2</f>
        <v>1.4641</v>
      </c>
      <c r="G71" s="22">
        <f>('BFI Scores'!L71-'BFI Scores'!B71)^2</f>
        <v>2.3639062500000003</v>
      </c>
      <c r="H71" s="22">
        <f>('BFI Scores'!M71-'BFI Scores'!C71)^2</f>
        <v>5.0076493827160569</v>
      </c>
      <c r="I71" s="22">
        <f>('BFI Scores'!N71-'BFI Scores'!D71)^2</f>
        <v>6.5479123456790189</v>
      </c>
      <c r="J71" s="22">
        <f>('BFI Scores'!O71-'BFI Scores'!E71)^2</f>
        <v>1.8906250000000048E-2</v>
      </c>
      <c r="K71" s="22">
        <f>('BFI Scores'!P71-'BFI Scores'!F71)^2</f>
        <v>1.8225000000000002</v>
      </c>
      <c r="L71" s="22">
        <f>('BFI Scores'!Q71-'BFI Scores'!B71)^2</f>
        <v>0.2756250000000004</v>
      </c>
      <c r="M71" s="22">
        <f>('BFI Scores'!R71-'BFI Scores'!C71)^2</f>
        <v>0.14609382716049196</v>
      </c>
      <c r="N71" s="22">
        <f>('BFI Scores'!S71-'BFI Scores'!D71)^2</f>
        <v>5.2542827160493726</v>
      </c>
      <c r="O71" s="22">
        <f>('BFI Scores'!T71-'BFI Scores'!E71)^2</f>
        <v>0.140625</v>
      </c>
      <c r="P71" s="22">
        <f>('BFI Scores'!U71-'BFI Scores'!F71)^2</f>
        <v>0.10890000000000005</v>
      </c>
      <c r="Q71" s="22">
        <f>('BFI Scores'!V71-'BFI Scores'!B71)^2</f>
        <v>9.9999999999999291E-3</v>
      </c>
      <c r="R71" s="22">
        <f>('BFI Scores'!W71-'BFI Scores'!C71)^2</f>
        <v>3.2962419753086567</v>
      </c>
      <c r="S71" s="22">
        <f>('BFI Scores'!X71-'BFI Scores'!D71)^2</f>
        <v>6.5479123456790189</v>
      </c>
      <c r="T71" s="22">
        <f>('BFI Scores'!Y71-'BFI Scores'!E71)^2</f>
        <v>6.8906250000000099E-2</v>
      </c>
      <c r="U71" s="22">
        <f>('BFI Scores'!Z71-'BFI Scores'!F71)^2</f>
        <v>0.82810000000000028</v>
      </c>
      <c r="V71" s="29">
        <f>('BFI Scores'!AA71-'BFI Scores'!B71)^2</f>
        <v>0.15015625000000013</v>
      </c>
      <c r="W71" s="29">
        <f>('BFI Scores'!AB71-'BFI Scores'!C71)^2</f>
        <v>0.24337777777777411</v>
      </c>
      <c r="X71" s="29">
        <f>('BFI Scores'!AC71-'BFI Scores'!D71)^2</f>
        <v>6.3784308641975533</v>
      </c>
      <c r="Y71" s="29">
        <f>('BFI Scores'!AD71-'BFI Scores'!E71)^2</f>
        <v>0.140625</v>
      </c>
      <c r="Z71" s="29">
        <f>('BFI Scores'!AE71-'BFI Scores'!F71)^2</f>
        <v>1.1024999999999996</v>
      </c>
      <c r="AA71" s="29">
        <f>('BFI Scores'!AF71-'BFI Scores'!B71)^2</f>
        <v>0.11390625000000024</v>
      </c>
      <c r="AB71" s="29">
        <f>('BFI Scores'!AG71-'BFI Scores'!C71)^2</f>
        <v>4.9580444444444582</v>
      </c>
      <c r="AC71" s="29">
        <f>('BFI Scores'!AH71-'BFI Scores'!D71)^2</f>
        <v>7.1883567901234517</v>
      </c>
      <c r="AD71" s="29">
        <f>('BFI Scores'!AI71-'BFI Scores'!E71)^2</f>
        <v>1.5625000000000445E-4</v>
      </c>
      <c r="AE71" s="29">
        <f>('BFI Scores'!AJ71-'BFI Scores'!F71)^2</f>
        <v>2.6896000000000004</v>
      </c>
      <c r="AF71" s="23">
        <f t="shared" si="12"/>
        <v>1.5224814969135834</v>
      </c>
      <c r="AG71" s="23">
        <f t="shared" si="13"/>
        <v>3.1521748456790153</v>
      </c>
      <c r="AH71" s="23">
        <f t="shared" si="14"/>
        <v>1.1851053086419729</v>
      </c>
      <c r="AI71" s="23">
        <f t="shared" si="15"/>
        <v>2.1502321141975349</v>
      </c>
      <c r="AJ71" s="30">
        <f t="shared" si="16"/>
        <v>1.6030179783950653</v>
      </c>
      <c r="AK71" s="30">
        <f t="shared" si="17"/>
        <v>2.9900127469135822</v>
      </c>
    </row>
    <row r="72" spans="1:37" x14ac:dyDescent="0.2">
      <c r="A72" s="21">
        <v>71920</v>
      </c>
      <c r="B72" s="22">
        <f>('BFI Scores'!G72-'BFI Scores'!B72)^2</f>
        <v>0.72250000000000014</v>
      </c>
      <c r="C72" s="22">
        <f>('BFI Scores'!H72-'BFI Scores'!C72)^2</f>
        <v>3.8716049382725944E-3</v>
      </c>
      <c r="D72" s="22">
        <f>('BFI Scores'!I72-'BFI Scores'!D72)^2</f>
        <v>1.9413777777777685</v>
      </c>
      <c r="E72" s="22">
        <f>('BFI Scores'!J72-'BFI Scores'!E72)^2</f>
        <v>0.17015625000000006</v>
      </c>
      <c r="F72" s="22">
        <f>('BFI Scores'!K72-'BFI Scores'!F72)^2</f>
        <v>2.25</v>
      </c>
      <c r="G72" s="22">
        <f>('BFI Scores'!L72-'BFI Scores'!B72)^2</f>
        <v>0.49000000000000027</v>
      </c>
      <c r="H72" s="22">
        <f>('BFI Scores'!M72-'BFI Scores'!C72)^2</f>
        <v>0.94737777777777221</v>
      </c>
      <c r="I72" s="22">
        <f>('BFI Scores'!N72-'BFI Scores'!D72)^2</f>
        <v>2.0992790123456828</v>
      </c>
      <c r="J72" s="22">
        <f>('BFI Scores'!O72-'BFI Scores'!E72)^2</f>
        <v>7.5624999999999956E-2</v>
      </c>
      <c r="K72" s="22">
        <f>('BFI Scores'!P72-'BFI Scores'!F72)^2</f>
        <v>2.3715999999999999</v>
      </c>
      <c r="L72" s="22">
        <f>('BFI Scores'!Q72-'BFI Scores'!B72)^2</f>
        <v>2.2499999999999975E-2</v>
      </c>
      <c r="M72" s="22">
        <f>('BFI Scores'!R72-'BFI Scores'!C72)^2</f>
        <v>0.86283456790123703</v>
      </c>
      <c r="N72" s="22">
        <f>('BFI Scores'!S72-'BFI Scores'!D72)^2</f>
        <v>6.1945679012346253E-2</v>
      </c>
      <c r="O72" s="22">
        <f>('BFI Scores'!T72-'BFI Scores'!E72)^2</f>
        <v>9.765625E-2</v>
      </c>
      <c r="P72" s="22">
        <f>('BFI Scores'!U72-'BFI Scores'!F72)^2</f>
        <v>0.88359999999999994</v>
      </c>
      <c r="Q72" s="22">
        <f>('BFI Scores'!V72-'BFI Scores'!B72)^2</f>
        <v>6.2499999999999557E-4</v>
      </c>
      <c r="R72" s="22">
        <f>('BFI Scores'!W72-'BFI Scores'!C72)^2</f>
        <v>5.3720938271605059</v>
      </c>
      <c r="S72" s="22">
        <f>('BFI Scores'!X72-'BFI Scores'!D72)^2</f>
        <v>2.7556000000000003</v>
      </c>
      <c r="T72" s="22">
        <f>('BFI Scores'!Y72-'BFI Scores'!E72)^2</f>
        <v>0.31640625</v>
      </c>
      <c r="U72" s="22">
        <f>('BFI Scores'!Z72-'BFI Scores'!F72)^2</f>
        <v>3.724899999999999</v>
      </c>
      <c r="V72" s="29">
        <f>('BFI Scores'!AA72-'BFI Scores'!B72)^2</f>
        <v>0.2756249999999999</v>
      </c>
      <c r="W72" s="29">
        <f>('BFI Scores'!AB72-'BFI Scores'!C72)^2</f>
        <v>5.2390123456790644E-2</v>
      </c>
      <c r="X72" s="29">
        <f>('BFI Scores'!AC72-'BFI Scores'!D72)^2</f>
        <v>2.9431308641975118</v>
      </c>
      <c r="Y72" s="29">
        <f>('BFI Scores'!AD72-'BFI Scores'!E72)^2</f>
        <v>9.0000000000000024E-2</v>
      </c>
      <c r="Z72" s="29">
        <f>('BFI Scores'!AE72-'BFI Scores'!F72)^2</f>
        <v>2.9240999999999997</v>
      </c>
      <c r="AA72" s="29">
        <f>('BFI Scores'!AF72-'BFI Scores'!B72)^2</f>
        <v>4.515624999999996E-2</v>
      </c>
      <c r="AB72" s="29">
        <f>('BFI Scores'!AG72-'BFI Scores'!C72)^2</f>
        <v>2.0417234567901272</v>
      </c>
      <c r="AC72" s="29">
        <f>('BFI Scores'!AH72-'BFI Scores'!D72)^2</f>
        <v>2.9431308641975118</v>
      </c>
      <c r="AD72" s="29">
        <f>('BFI Scores'!AI72-'BFI Scores'!E72)^2</f>
        <v>5.0625000000000038E-2</v>
      </c>
      <c r="AE72" s="29">
        <f>('BFI Scores'!AJ72-'BFI Scores'!F72)^2</f>
        <v>2.8560999999999996</v>
      </c>
      <c r="AF72" s="23">
        <f t="shared" si="12"/>
        <v>1.0175811265432082</v>
      </c>
      <c r="AG72" s="23">
        <f t="shared" si="13"/>
        <v>1.1967763580246911</v>
      </c>
      <c r="AH72" s="23">
        <f t="shared" si="14"/>
        <v>0.38570729938271664</v>
      </c>
      <c r="AI72" s="23">
        <f t="shared" si="15"/>
        <v>2.4339250154321008</v>
      </c>
      <c r="AJ72" s="30">
        <f t="shared" si="16"/>
        <v>1.2570491975308602</v>
      </c>
      <c r="AK72" s="30">
        <f t="shared" si="17"/>
        <v>1.5873471141975277</v>
      </c>
    </row>
    <row r="73" spans="1:37" x14ac:dyDescent="0.2">
      <c r="A73" s="21">
        <v>72945</v>
      </c>
      <c r="B73" s="22">
        <f>('BFI Scores'!G73-'BFI Scores'!B73)^2</f>
        <v>7.6562499999999842E-3</v>
      </c>
      <c r="C73" s="22">
        <f>('BFI Scores'!H73-'BFI Scores'!C73)^2</f>
        <v>8.2816049382717152E-2</v>
      </c>
      <c r="D73" s="22">
        <f>('BFI Scores'!I73-'BFI Scores'!D73)^2</f>
        <v>0.73007530864196757</v>
      </c>
      <c r="E73" s="22">
        <f>('BFI Scores'!J73-'BFI Scores'!E73)^2</f>
        <v>2.5600000000000005</v>
      </c>
      <c r="F73" s="22">
        <f>('BFI Scores'!K73-'BFI Scores'!F73)^2</f>
        <v>3.5721000000000003</v>
      </c>
      <c r="G73" s="22">
        <f>('BFI Scores'!L73-'BFI Scores'!B73)^2</f>
        <v>1.1024999999999996</v>
      </c>
      <c r="H73" s="22">
        <f>('BFI Scores'!M73-'BFI Scores'!C73)^2</f>
        <v>1.7482716049382074E-2</v>
      </c>
      <c r="I73" s="22">
        <f>('BFI Scores'!N73-'BFI Scores'!D73)^2</f>
        <v>0.38577901234567769</v>
      </c>
      <c r="J73" s="22">
        <f>('BFI Scores'!O73-'BFI Scores'!E73)^2</f>
        <v>8.1939062499999995</v>
      </c>
      <c r="K73" s="22">
        <f>('BFI Scores'!P73-'BFI Scores'!F73)^2</f>
        <v>0.63999999999999968</v>
      </c>
      <c r="L73" s="22">
        <f>('BFI Scores'!Q73-'BFI Scores'!B73)^2</f>
        <v>1.1556250000000003</v>
      </c>
      <c r="M73" s="22">
        <f>('BFI Scores'!R73-'BFI Scores'!C73)^2</f>
        <v>0.16809999999999975</v>
      </c>
      <c r="N73" s="22">
        <f>('BFI Scores'!S73-'BFI Scores'!D73)^2</f>
        <v>4.9877777777776314E-2</v>
      </c>
      <c r="O73" s="22">
        <f>('BFI Scores'!T73-'BFI Scores'!E73)^2</f>
        <v>0.60062499999999985</v>
      </c>
      <c r="P73" s="22">
        <f>('BFI Scores'!U73-'BFI Scores'!F73)^2</f>
        <v>5.0625</v>
      </c>
      <c r="Q73" s="22">
        <f>('BFI Scores'!V73-'BFI Scores'!B73)^2</f>
        <v>3.0189062499999992</v>
      </c>
      <c r="R73" s="22">
        <f>('BFI Scores'!W73-'BFI Scores'!C73)^2</f>
        <v>0.76854444444445036</v>
      </c>
      <c r="S73" s="22">
        <f>('BFI Scores'!X73-'BFI Scores'!D73)^2</f>
        <v>9.7790123456791712E-3</v>
      </c>
      <c r="T73" s="22">
        <f>('BFI Scores'!Y73-'BFI Scores'!E73)^2</f>
        <v>1.2939062500000005</v>
      </c>
      <c r="U73" s="22">
        <f>('BFI Scores'!Z73-'BFI Scores'!F73)^2</f>
        <v>0.65610000000000013</v>
      </c>
      <c r="V73" s="29">
        <f>('BFI Scores'!AA73-'BFI Scores'!B73)^2</f>
        <v>3.90625E-3</v>
      </c>
      <c r="W73" s="29">
        <f>('BFI Scores'!AB73-'BFI Scores'!C73)^2</f>
        <v>0.13363086419752687</v>
      </c>
      <c r="X73" s="29">
        <f>('BFI Scores'!AC73-'BFI Scores'!D73)^2</f>
        <v>1.8777777777774795E-3</v>
      </c>
      <c r="Y73" s="29">
        <f>('BFI Scores'!AD73-'BFI Scores'!E73)^2</f>
        <v>0.92640624999999988</v>
      </c>
      <c r="Z73" s="29">
        <f>('BFI Scores'!AE73-'BFI Scores'!F73)^2</f>
        <v>4</v>
      </c>
      <c r="AA73" s="29">
        <f>('BFI Scores'!AF73-'BFI Scores'!B73)^2</f>
        <v>1.5314062499999996</v>
      </c>
      <c r="AB73" s="29">
        <f>('BFI Scores'!AG73-'BFI Scores'!C73)^2</f>
        <v>4.2975308641981175E-3</v>
      </c>
      <c r="AC73" s="29">
        <f>('BFI Scores'!AH73-'BFI Scores'!D73)^2</f>
        <v>9.7790123456791712E-3</v>
      </c>
      <c r="AD73" s="29">
        <f>('BFI Scores'!AI73-'BFI Scores'!E73)^2</f>
        <v>6.6306250000000011</v>
      </c>
      <c r="AE73" s="29">
        <f>('BFI Scores'!AJ73-'BFI Scores'!F73)^2</f>
        <v>0.77439999999999987</v>
      </c>
      <c r="AF73" s="23">
        <f t="shared" si="12"/>
        <v>1.3905295216049371</v>
      </c>
      <c r="AG73" s="23">
        <f t="shared" si="13"/>
        <v>2.0679335956790119</v>
      </c>
      <c r="AH73" s="23">
        <f t="shared" si="14"/>
        <v>1.4073455555555552</v>
      </c>
      <c r="AI73" s="23">
        <f t="shared" si="15"/>
        <v>1.149447191358026</v>
      </c>
      <c r="AJ73" s="30">
        <f t="shared" si="16"/>
        <v>1.0131642283950608</v>
      </c>
      <c r="AK73" s="30">
        <f t="shared" si="17"/>
        <v>1.7901015586419757</v>
      </c>
    </row>
    <row r="74" spans="1:37" x14ac:dyDescent="0.2">
      <c r="A74" s="21">
        <v>74568</v>
      </c>
      <c r="B74" s="22">
        <f>('BFI Scores'!G74-'BFI Scores'!B74)^2</f>
        <v>0.70140625000000056</v>
      </c>
      <c r="C74" s="22">
        <f>('BFI Scores'!H74-'BFI Scores'!C74)^2</f>
        <v>1.4134567901234763E-2</v>
      </c>
      <c r="D74" s="22">
        <f>('BFI Scores'!I74-'BFI Scores'!D74)^2</f>
        <v>0.64356049382715719</v>
      </c>
      <c r="E74" s="22">
        <f>('BFI Scores'!J74-'BFI Scores'!E74)^2</f>
        <v>0.42249999999999988</v>
      </c>
      <c r="F74" s="22">
        <f>('BFI Scores'!K74-'BFI Scores'!F74)^2</f>
        <v>2.5599999999999904E-2</v>
      </c>
      <c r="G74" s="22">
        <f>('BFI Scores'!L74-'BFI Scores'!B74)^2</f>
        <v>0.25</v>
      </c>
      <c r="H74" s="22">
        <f>('BFI Scores'!M74-'BFI Scores'!C74)^2</f>
        <v>1.0677777777777078E-2</v>
      </c>
      <c r="I74" s="22">
        <f>('BFI Scores'!N74-'BFI Scores'!D74)^2</f>
        <v>0.44741234567901439</v>
      </c>
      <c r="J74" s="22">
        <f>('BFI Scores'!O74-'BFI Scores'!E74)^2</f>
        <v>0.5814062499999999</v>
      </c>
      <c r="K74" s="22">
        <f>('BFI Scores'!P74-'BFI Scores'!F74)^2</f>
        <v>0.18490000000000015</v>
      </c>
      <c r="L74" s="22">
        <f>('BFI Scores'!Q74-'BFI Scores'!B74)^2</f>
        <v>8.2656249999999792E-2</v>
      </c>
      <c r="M74" s="22">
        <f>('BFI Scores'!R74-'BFI Scores'!C74)^2</f>
        <v>0.85665308641976112</v>
      </c>
      <c r="N74" s="22">
        <f>('BFI Scores'!S74-'BFI Scores'!D74)^2</f>
        <v>1.2148938271604899</v>
      </c>
      <c r="O74" s="22">
        <f>('BFI Scores'!T74-'BFI Scores'!E74)^2</f>
        <v>1.5625E-2</v>
      </c>
      <c r="P74" s="22">
        <f>('BFI Scores'!U74-'BFI Scores'!F74)^2</f>
        <v>0.18489999999999976</v>
      </c>
      <c r="Q74" s="22">
        <f>('BFI Scores'!V74-'BFI Scores'!B74)^2</f>
        <v>0.33062500000000022</v>
      </c>
      <c r="R74" s="22">
        <f>('BFI Scores'!W74-'BFI Scores'!C74)^2</f>
        <v>1.5293444444444524</v>
      </c>
      <c r="S74" s="22">
        <f>('BFI Scores'!X74-'BFI Scores'!D74)^2</f>
        <v>1.1905234567901215</v>
      </c>
      <c r="T74" s="22">
        <f>('BFI Scores'!Y74-'BFI Scores'!E74)^2</f>
        <v>2.7639062500000002</v>
      </c>
      <c r="U74" s="22">
        <f>('BFI Scores'!Z74-'BFI Scores'!F74)^2</f>
        <v>1.5625</v>
      </c>
      <c r="V74" s="29">
        <f>('BFI Scores'!AA74-'BFI Scores'!B74)^2</f>
        <v>0.58140625000000024</v>
      </c>
      <c r="W74" s="29">
        <f>('BFI Scores'!AB74-'BFI Scores'!C74)^2</f>
        <v>5.5419753086427825E-3</v>
      </c>
      <c r="X74" s="29">
        <f>('BFI Scores'!AC74-'BFI Scores'!D74)^2</f>
        <v>2.7115111111111223</v>
      </c>
      <c r="Y74" s="29">
        <f>('BFI Scores'!AD74-'BFI Scores'!E74)^2</f>
        <v>0.34515624999999989</v>
      </c>
      <c r="Z74" s="29">
        <f>('BFI Scores'!AE74-'BFI Scores'!F74)^2</f>
        <v>9.0000000000001494E-4</v>
      </c>
      <c r="AA74" s="29">
        <f>('BFI Scores'!AF74-'BFI Scores'!B74)^2</f>
        <v>1</v>
      </c>
      <c r="AB74" s="29">
        <f>('BFI Scores'!AG74-'BFI Scores'!C74)^2</f>
        <v>0.49467777777777316</v>
      </c>
      <c r="AC74" s="29">
        <f>('BFI Scores'!AH74-'BFI Scores'!D74)^2</f>
        <v>0.5088444444444401</v>
      </c>
      <c r="AD74" s="29">
        <f>('BFI Scores'!AI74-'BFI Scores'!E74)^2</f>
        <v>0.64000000000000012</v>
      </c>
      <c r="AE74" s="29">
        <f>('BFI Scores'!AJ74-'BFI Scores'!F74)^2</f>
        <v>0.1521000000000001</v>
      </c>
      <c r="AF74" s="23">
        <f t="shared" si="12"/>
        <v>0.36144026234567844</v>
      </c>
      <c r="AG74" s="23">
        <f t="shared" si="13"/>
        <v>0.29487927469135833</v>
      </c>
      <c r="AH74" s="23">
        <f t="shared" si="14"/>
        <v>0.47094563271605006</v>
      </c>
      <c r="AI74" s="23">
        <f t="shared" si="15"/>
        <v>1.475379830246915</v>
      </c>
      <c r="AJ74" s="30">
        <f t="shared" si="16"/>
        <v>0.72890311728395307</v>
      </c>
      <c r="AK74" s="30">
        <f t="shared" si="17"/>
        <v>0.55912444444444265</v>
      </c>
    </row>
    <row r="75" spans="1:37" x14ac:dyDescent="0.2">
      <c r="A75" s="21">
        <v>76134</v>
      </c>
      <c r="B75" s="22">
        <f>('BFI Scores'!G75-'BFI Scores'!B75)^2</f>
        <v>0.57380625000000041</v>
      </c>
      <c r="C75" s="22">
        <f>('BFI Scores'!H75-'BFI Scores'!C75)^2</f>
        <v>1.521111111111028E-2</v>
      </c>
      <c r="D75" s="22">
        <f>('BFI Scores'!I75-'BFI Scores'!D75)^2</f>
        <v>3.1723567901234522</v>
      </c>
      <c r="E75" s="22">
        <f>('BFI Scores'!J75-'BFI Scores'!E75)^2</f>
        <v>0.765625</v>
      </c>
      <c r="F75" s="22">
        <f>('BFI Scores'!K75-'BFI Scores'!F75)^2</f>
        <v>1.1025</v>
      </c>
      <c r="G75" s="22">
        <f>('BFI Scores'!L75-'BFI Scores'!B75)^2</f>
        <v>0.14630625000000022</v>
      </c>
      <c r="H75" s="22">
        <f>('BFI Scores'!M75-'BFI Scores'!C75)^2</f>
        <v>5.4444444444430378E-4</v>
      </c>
      <c r="I75" s="22">
        <f>('BFI Scores'!N75-'BFI Scores'!D75)^2</f>
        <v>0.81601111111110469</v>
      </c>
      <c r="J75" s="22">
        <f>('BFI Scores'!O75-'BFI Scores'!E75)^2</f>
        <v>6.8906250000000099E-2</v>
      </c>
      <c r="K75" s="22">
        <f>('BFI Scores'!P75-'BFI Scores'!F75)^2</f>
        <v>4.0000000000000072E-4</v>
      </c>
      <c r="L75" s="22">
        <f>('BFI Scores'!Q75-'BFI Scores'!B75)^2</f>
        <v>0.71402500000000035</v>
      </c>
      <c r="M75" s="22">
        <f>('BFI Scores'!R75-'BFI Scores'!C75)^2</f>
        <v>8.933456790123516E-2</v>
      </c>
      <c r="N75" s="22">
        <f>('BFI Scores'!S75-'BFI Scores'!D75)^2</f>
        <v>7.3197530864205218E-3</v>
      </c>
      <c r="O75" s="22">
        <f>('BFI Scores'!T75-'BFI Scores'!E75)^2</f>
        <v>6.8906250000000099E-2</v>
      </c>
      <c r="P75" s="22">
        <f>('BFI Scores'!U75-'BFI Scores'!F75)^2</f>
        <v>1.0609</v>
      </c>
      <c r="Q75" s="22">
        <f>('BFI Scores'!V75-'BFI Scores'!B75)^2</f>
        <v>0.84639999999999982</v>
      </c>
      <c r="R75" s="22">
        <f>('BFI Scores'!W75-'BFI Scores'!C75)^2</f>
        <v>0.65610000000000013</v>
      </c>
      <c r="S75" s="22">
        <f>('BFI Scores'!X75-'BFI Scores'!D75)^2</f>
        <v>3.2801234567900871E-2</v>
      </c>
      <c r="T75" s="22">
        <f>('BFI Scores'!Y75-'BFI Scores'!E75)^2</f>
        <v>6.8906250000000099E-2</v>
      </c>
      <c r="U75" s="22">
        <f>('BFI Scores'!Z75-'BFI Scores'!F75)^2</f>
        <v>3.6000000000000064E-3</v>
      </c>
      <c r="V75" s="29">
        <f>('BFI Scores'!AA75-'BFI Scores'!B75)^2</f>
        <v>1.1718062499999999</v>
      </c>
      <c r="W75" s="29">
        <f>('BFI Scores'!AB75-'BFI Scores'!C75)^2</f>
        <v>0.13526049382716226</v>
      </c>
      <c r="X75" s="29">
        <f>('BFI Scores'!AC75-'BFI Scores'!D75)^2</f>
        <v>1.3430234567901254</v>
      </c>
      <c r="Y75" s="29">
        <f>('BFI Scores'!AD75-'BFI Scores'!E75)^2</f>
        <v>0.7439062500000001</v>
      </c>
      <c r="Z75" s="29">
        <f>('BFI Scores'!AE75-'BFI Scores'!F75)^2</f>
        <v>0.92159999999999997</v>
      </c>
      <c r="AA75" s="29">
        <f>('BFI Scores'!AF75-'BFI Scores'!B75)^2</f>
        <v>0.2450250000000001</v>
      </c>
      <c r="AB75" s="29">
        <f>('BFI Scores'!AG75-'BFI Scores'!C75)^2</f>
        <v>4.2975308641981175E-3</v>
      </c>
      <c r="AC75" s="29">
        <f>('BFI Scores'!AH75-'BFI Scores'!D75)^2</f>
        <v>2.3171604938271008E-2</v>
      </c>
      <c r="AD75" s="29">
        <f>('BFI Scores'!AI75-'BFI Scores'!E75)^2</f>
        <v>0.52562500000000012</v>
      </c>
      <c r="AE75" s="29">
        <f>('BFI Scores'!AJ75-'BFI Scores'!F75)^2</f>
        <v>1.2099999999999972E-2</v>
      </c>
      <c r="AF75" s="23">
        <f t="shared" si="12"/>
        <v>1.1258998302469125</v>
      </c>
      <c r="AG75" s="23">
        <f t="shared" si="13"/>
        <v>0.20643361111110986</v>
      </c>
      <c r="AH75" s="23">
        <f t="shared" si="14"/>
        <v>0.38809711419753123</v>
      </c>
      <c r="AI75" s="23">
        <f t="shared" si="15"/>
        <v>0.32156149691358021</v>
      </c>
      <c r="AJ75" s="30">
        <f t="shared" si="16"/>
        <v>0.86311929012345756</v>
      </c>
      <c r="AK75" s="30">
        <f t="shared" si="17"/>
        <v>0.16204382716049387</v>
      </c>
    </row>
    <row r="76" spans="1:37" x14ac:dyDescent="0.2">
      <c r="A76" s="21">
        <v>77117</v>
      </c>
      <c r="B76" s="22">
        <f>('BFI Scores'!G76-'BFI Scores'!B76)^2</f>
        <v>5.94140625</v>
      </c>
      <c r="C76" s="22">
        <f>('BFI Scores'!H76-'BFI Scores'!C76)^2</f>
        <v>0.78617777777778342</v>
      </c>
      <c r="D76" s="22">
        <f>('BFI Scores'!I76-'BFI Scores'!D76)^2</f>
        <v>6.0954123456790192</v>
      </c>
      <c r="E76" s="22">
        <f>('BFI Scores'!J76-'BFI Scores'!E76)^2</f>
        <v>0.3600000000000001</v>
      </c>
      <c r="F76" s="22">
        <f>('BFI Scores'!K76-'BFI Scores'!F76)^2</f>
        <v>1.6899999999999995</v>
      </c>
      <c r="G76" s="22">
        <f>('BFI Scores'!L76-'BFI Scores'!B76)^2</f>
        <v>2.25</v>
      </c>
      <c r="H76" s="22">
        <f>('BFI Scores'!M76-'BFI Scores'!C76)^2</f>
        <v>5.0375308641973517E-2</v>
      </c>
      <c r="I76" s="22">
        <f>('BFI Scores'!N76-'BFI Scores'!D76)^2</f>
        <v>0.79407901234567713</v>
      </c>
      <c r="J76" s="22">
        <f>('BFI Scores'!O76-'BFI Scores'!E76)^2</f>
        <v>0.10562500000000012</v>
      </c>
      <c r="K76" s="22">
        <f>('BFI Scores'!P76-'BFI Scores'!F76)^2</f>
        <v>1.0200999999999996</v>
      </c>
      <c r="L76" s="22">
        <f>('BFI Scores'!Q76-'BFI Scores'!B76)^2</f>
        <v>1.12890625</v>
      </c>
      <c r="M76" s="22">
        <f>('BFI Scores'!R76-'BFI Scores'!C76)^2</f>
        <v>3.5595111111111231</v>
      </c>
      <c r="N76" s="22">
        <f>('BFI Scores'!S76-'BFI Scores'!D76)^2</f>
        <v>2.8224000000000005</v>
      </c>
      <c r="O76" s="22">
        <f>('BFI Scores'!T76-'BFI Scores'!E76)^2</f>
        <v>0.10562500000000012</v>
      </c>
      <c r="P76" s="22">
        <f>('BFI Scores'!U76-'BFI Scores'!F76)^2</f>
        <v>2.4024999999999994</v>
      </c>
      <c r="Q76" s="22">
        <f>('BFI Scores'!V76-'BFI Scores'!B76)^2</f>
        <v>0.58140625000000024</v>
      </c>
      <c r="R76" s="22">
        <f>('BFI Scores'!W76-'BFI Scores'!C76)^2</f>
        <v>0.84639999999999982</v>
      </c>
      <c r="S76" s="22">
        <f>('BFI Scores'!X76-'BFI Scores'!D76)^2</f>
        <v>0.36267160493826944</v>
      </c>
      <c r="T76" s="22">
        <f>('BFI Scores'!Y76-'BFI Scores'!E76)^2</f>
        <v>0.20250000000000015</v>
      </c>
      <c r="U76" s="22">
        <f>('BFI Scores'!Z76-'BFI Scores'!F76)^2</f>
        <v>0.73959999999999981</v>
      </c>
      <c r="V76" s="29">
        <f>('BFI Scores'!AA76-'BFI Scores'!B76)^2</f>
        <v>4</v>
      </c>
      <c r="W76" s="29">
        <f>('BFI Scores'!AB76-'BFI Scores'!C76)^2</f>
        <v>1.2543999999999993</v>
      </c>
      <c r="X76" s="29">
        <f>('BFI Scores'!AC76-'BFI Scores'!D76)^2</f>
        <v>6.4290419753086656</v>
      </c>
      <c r="Y76" s="29">
        <f>('BFI Scores'!AD76-'BFI Scores'!E76)^2</f>
        <v>0.25</v>
      </c>
      <c r="Z76" s="29">
        <f>('BFI Scores'!AE76-'BFI Scores'!F76)^2</f>
        <v>1.6899999999999995</v>
      </c>
      <c r="AA76" s="29">
        <f>('BFI Scores'!AF76-'BFI Scores'!B76)^2</f>
        <v>2.25</v>
      </c>
      <c r="AB76" s="29">
        <f>('BFI Scores'!AG76-'BFI Scores'!C76)^2</f>
        <v>3.6523456790122991E-2</v>
      </c>
      <c r="AC76" s="29">
        <f>('BFI Scores'!AH76-'BFI Scores'!D76)^2</f>
        <v>5.4548197530864408</v>
      </c>
      <c r="AD76" s="29">
        <f>('BFI Scores'!AI76-'BFI Scores'!E76)^2</f>
        <v>0.19140625</v>
      </c>
      <c r="AE76" s="29">
        <f>('BFI Scores'!AJ76-'BFI Scores'!F76)^2</f>
        <v>1.3455999999999992</v>
      </c>
      <c r="AF76" s="23">
        <f t="shared" si="12"/>
        <v>2.9745992746913603</v>
      </c>
      <c r="AG76" s="23">
        <f t="shared" si="13"/>
        <v>0.84403586419753007</v>
      </c>
      <c r="AH76" s="23">
        <f t="shared" si="14"/>
        <v>2.0037884722222246</v>
      </c>
      <c r="AI76" s="23">
        <f t="shared" si="15"/>
        <v>0.54651557098765391</v>
      </c>
      <c r="AJ76" s="30">
        <f t="shared" si="16"/>
        <v>2.7246883950617327</v>
      </c>
      <c r="AK76" s="30">
        <f t="shared" si="17"/>
        <v>1.8556698919753125</v>
      </c>
    </row>
    <row r="77" spans="1:37" x14ac:dyDescent="0.2">
      <c r="A77" s="21">
        <v>81053</v>
      </c>
      <c r="B77" s="22">
        <f>('BFI Scores'!G77-'BFI Scores'!B77)^2</f>
        <v>1.4400000000000026E-2</v>
      </c>
      <c r="C77" s="22">
        <f>('BFI Scores'!H77-'BFI Scores'!C77)^2</f>
        <v>1.3097530864196544E-2</v>
      </c>
      <c r="D77" s="22">
        <f>('BFI Scores'!I77-'BFI Scores'!D77)^2</f>
        <v>3.5679012345683455E-4</v>
      </c>
      <c r="E77" s="22">
        <f>('BFI Scores'!J77-'BFI Scores'!E77)^2</f>
        <v>1.1663999999999997</v>
      </c>
      <c r="F77" s="22">
        <f>('BFI Scores'!K77-'BFI Scores'!F77)^2</f>
        <v>0.10890000000000005</v>
      </c>
      <c r="G77" s="22">
        <f>('BFI Scores'!L77-'BFI Scores'!B77)^2</f>
        <v>3.8025000000000114E-2</v>
      </c>
      <c r="H77" s="22">
        <f>('BFI Scores'!M77-'BFI Scores'!C77)^2</f>
        <v>2.1739864197530734</v>
      </c>
      <c r="I77" s="22">
        <f>('BFI Scores'!N77-'BFI Scores'!D77)^2</f>
        <v>5.8833197530864405</v>
      </c>
      <c r="J77" s="22">
        <f>('BFI Scores'!O77-'BFI Scores'!E77)^2</f>
        <v>0.93605624999999959</v>
      </c>
      <c r="K77" s="22">
        <f>('BFI Scores'!P77-'BFI Scores'!F77)^2</f>
        <v>0.44889999999999991</v>
      </c>
      <c r="L77" s="22">
        <f>('BFI Scores'!Q77-'BFI Scores'!B77)^2</f>
        <v>0.59289999999999998</v>
      </c>
      <c r="M77" s="22">
        <f>('BFI Scores'!R77-'BFI Scores'!C77)^2</f>
        <v>1.2768999999999997</v>
      </c>
      <c r="N77" s="22">
        <f>('BFI Scores'!S77-'BFI Scores'!D77)^2</f>
        <v>2.9013444444444332</v>
      </c>
      <c r="O77" s="22">
        <f>('BFI Scores'!T77-'BFI Scores'!E77)^2</f>
        <v>2.4806250000000061E-2</v>
      </c>
      <c r="P77" s="22">
        <f>('BFI Scores'!U77-'BFI Scores'!F77)^2</f>
        <v>0.18489999999999976</v>
      </c>
      <c r="Q77" s="22">
        <f>('BFI Scores'!V77-'BFI Scores'!B77)^2</f>
        <v>2.6244000000000005</v>
      </c>
      <c r="R77" s="22">
        <f>('BFI Scores'!W77-'BFI Scores'!C77)^2</f>
        <v>4.4427271604938365</v>
      </c>
      <c r="S77" s="22">
        <f>('BFI Scores'!X77-'BFI Scores'!D77)^2</f>
        <v>6.5479123456790189</v>
      </c>
      <c r="T77" s="22">
        <f>('BFI Scores'!Y77-'BFI Scores'!E77)^2</f>
        <v>0.47955624999999985</v>
      </c>
      <c r="U77" s="22">
        <f>('BFI Scores'!Z77-'BFI Scores'!F77)^2</f>
        <v>1.6129</v>
      </c>
      <c r="V77" s="29">
        <f>('BFI Scores'!AA77-'BFI Scores'!B77)^2</f>
        <v>0.86955625000000025</v>
      </c>
      <c r="W77" s="29">
        <f>('BFI Scores'!AB77-'BFI Scores'!C77)^2</f>
        <v>1.3097530864196544E-2</v>
      </c>
      <c r="X77" s="29">
        <f>('BFI Scores'!AC77-'BFI Scores'!D77)^2</f>
        <v>0.27620864197531286</v>
      </c>
      <c r="Y77" s="29">
        <f>('BFI Scores'!AD77-'BFI Scores'!E77)^2</f>
        <v>0.55130624999999989</v>
      </c>
      <c r="Z77" s="29">
        <f>('BFI Scores'!AE77-'BFI Scores'!F77)^2</f>
        <v>4.4099999999999986E-2</v>
      </c>
      <c r="AA77" s="29">
        <f>('BFI Scores'!AF77-'BFI Scores'!B77)^2</f>
        <v>2.0164</v>
      </c>
      <c r="AB77" s="29">
        <f>('BFI Scores'!AG77-'BFI Scores'!C77)^2</f>
        <v>2.3409000000000009</v>
      </c>
      <c r="AC77" s="29">
        <f>('BFI Scores'!AH77-'BFI Scores'!D77)^2</f>
        <v>6.3784308641975533</v>
      </c>
      <c r="AD77" s="29">
        <f>('BFI Scores'!AI77-'BFI Scores'!E77)^2</f>
        <v>1.6065562499999997</v>
      </c>
      <c r="AE77" s="29">
        <f>('BFI Scores'!AJ77-'BFI Scores'!F77)^2</f>
        <v>1</v>
      </c>
      <c r="AF77" s="23">
        <f t="shared" si="12"/>
        <v>0.26063086419753062</v>
      </c>
      <c r="AG77" s="23">
        <f t="shared" si="13"/>
        <v>1.896057484567903</v>
      </c>
      <c r="AH77" s="23">
        <f t="shared" si="14"/>
        <v>0.99617013888888661</v>
      </c>
      <c r="AI77" s="23">
        <f t="shared" si="15"/>
        <v>3.1414991512345711</v>
      </c>
      <c r="AJ77" s="30">
        <f t="shared" si="16"/>
        <v>0.35085373456790192</v>
      </c>
      <c r="AK77" s="30">
        <f t="shared" si="17"/>
        <v>2.6684574228395106</v>
      </c>
    </row>
    <row r="78" spans="1:37" x14ac:dyDescent="0.2">
      <c r="A78" s="21">
        <v>82305</v>
      </c>
      <c r="B78" s="22">
        <f>('BFI Scores'!G78-'BFI Scores'!B78)^2</f>
        <v>4.3576562499999998</v>
      </c>
      <c r="C78" s="22">
        <f>('BFI Scores'!H78-'BFI Scores'!C78)^2</f>
        <v>5.2899999999999989E-2</v>
      </c>
      <c r="D78" s="22">
        <f>('BFI Scores'!I78-'BFI Scores'!D78)^2</f>
        <v>3.9911160493827236</v>
      </c>
      <c r="E78" s="22">
        <f>('BFI Scores'!J78-'BFI Scores'!E78)^2</f>
        <v>7.5624999999999956E-2</v>
      </c>
      <c r="F78" s="22">
        <f>('BFI Scores'!K78-'BFI Scores'!F78)^2</f>
        <v>0.40959999999999958</v>
      </c>
      <c r="G78" s="22">
        <f>('BFI Scores'!L78-'BFI Scores'!B78)^2</f>
        <v>1.8564062499999996</v>
      </c>
      <c r="H78" s="22">
        <f>('BFI Scores'!M78-'BFI Scores'!C78)^2</f>
        <v>6.0493827160526554E-5</v>
      </c>
      <c r="I78" s="22">
        <f>('BFI Scores'!N78-'BFI Scores'!D78)^2</f>
        <v>8.8671604938272877E-2</v>
      </c>
      <c r="J78" s="22">
        <f>('BFI Scores'!O78-'BFI Scores'!E78)^2</f>
        <v>6.25E-2</v>
      </c>
      <c r="K78" s="22">
        <f>('BFI Scores'!P78-'BFI Scores'!F78)^2</f>
        <v>4.8999999999999773E-3</v>
      </c>
      <c r="L78" s="22">
        <f>('BFI Scores'!Q78-'BFI Scores'!B78)^2</f>
        <v>6.5024999999999995</v>
      </c>
      <c r="M78" s="22">
        <f>('BFI Scores'!R78-'BFI Scores'!C78)^2</f>
        <v>5.8134567901234113E-2</v>
      </c>
      <c r="N78" s="22">
        <f>('BFI Scores'!S78-'BFI Scores'!D78)^2</f>
        <v>4.5891160493827048</v>
      </c>
      <c r="O78" s="22">
        <f>('BFI Scores'!T78-'BFI Scores'!E78)^2</f>
        <v>0.21390624999999991</v>
      </c>
      <c r="P78" s="22">
        <f>('BFI Scores'!U78-'BFI Scores'!F78)^2</f>
        <v>0.6888999999999994</v>
      </c>
      <c r="Q78" s="22">
        <f>('BFI Scores'!V78-'BFI Scores'!B78)^2</f>
        <v>6.0639062500000014</v>
      </c>
      <c r="R78" s="22">
        <f>('BFI Scores'!W78-'BFI Scores'!C78)^2</f>
        <v>4.1344444444443101E-2</v>
      </c>
      <c r="S78" s="22">
        <f>('BFI Scores'!X78-'BFI Scores'!D78)^2</f>
        <v>4.8302271604938358</v>
      </c>
      <c r="T78" s="22">
        <f>('BFI Scores'!Y78-'BFI Scores'!E78)^2</f>
        <v>3.0625</v>
      </c>
      <c r="U78" s="22">
        <f>('BFI Scores'!Z78-'BFI Scores'!F78)^2</f>
        <v>0.46239999999999959</v>
      </c>
      <c r="V78" s="29">
        <f>('BFI Scores'!AA78-'BFI Scores'!B78)^2</f>
        <v>7.0225000000000017</v>
      </c>
      <c r="W78" s="29">
        <f>('BFI Scores'!AB78-'BFI Scores'!C78)^2</f>
        <v>0.14020864197530525</v>
      </c>
      <c r="X78" s="29">
        <f>('BFI Scores'!AC78-'BFI Scores'!D78)^2</f>
        <v>4.4474123456790169</v>
      </c>
      <c r="Y78" s="29">
        <f>('BFI Scores'!AD78-'BFI Scores'!E78)^2</f>
        <v>1.5625E-2</v>
      </c>
      <c r="Z78" s="29">
        <f>('BFI Scores'!AE78-'BFI Scores'!F78)^2</f>
        <v>0.65609999999999935</v>
      </c>
      <c r="AA78" s="29">
        <f>('BFI Scores'!AF78-'BFI Scores'!B78)^2</f>
        <v>2.6001562499999995</v>
      </c>
      <c r="AB78" s="29">
        <f>('BFI Scores'!AG78-'BFI Scores'!C78)^2</f>
        <v>0.10169012345679077</v>
      </c>
      <c r="AC78" s="29">
        <f>('BFI Scores'!AH78-'BFI Scores'!D78)^2</f>
        <v>1.2543999999999993</v>
      </c>
      <c r="AD78" s="29">
        <f>('BFI Scores'!AI78-'BFI Scores'!E78)^2</f>
        <v>1.5625E-2</v>
      </c>
      <c r="AE78" s="29">
        <f>('BFI Scores'!AJ78-'BFI Scores'!F78)^2</f>
        <v>0.28089999999999982</v>
      </c>
      <c r="AF78" s="23">
        <f t="shared" si="12"/>
        <v>1.7773794598765449</v>
      </c>
      <c r="AG78" s="23">
        <f t="shared" si="13"/>
        <v>0.40250766975308661</v>
      </c>
      <c r="AH78" s="23">
        <f t="shared" si="14"/>
        <v>2.4105113734567873</v>
      </c>
      <c r="AI78" s="23">
        <f t="shared" si="15"/>
        <v>2.892075570987656</v>
      </c>
      <c r="AJ78" s="30">
        <f t="shared" si="16"/>
        <v>2.4563691975308641</v>
      </c>
      <c r="AK78" s="30">
        <f t="shared" si="17"/>
        <v>0.8505542746913578</v>
      </c>
    </row>
    <row r="79" spans="1:37" x14ac:dyDescent="0.2">
      <c r="A79" s="21">
        <v>83111</v>
      </c>
      <c r="B79" s="22">
        <f>('BFI Scores'!G79-'BFI Scores'!B79)^2</f>
        <v>0.81902499999999967</v>
      </c>
      <c r="C79" s="22">
        <f>('BFI Scores'!H79-'BFI Scores'!C79)^2</f>
        <v>1.8677777777777596</v>
      </c>
      <c r="D79" s="22">
        <f>('BFI Scores'!I79-'BFI Scores'!D79)^2</f>
        <v>8.3456790123456859</v>
      </c>
      <c r="E79" s="22">
        <f>('BFI Scores'!J79-'BFI Scores'!E79)^2</f>
        <v>6.6306250000000011</v>
      </c>
      <c r="F79" s="22">
        <f>('BFI Scores'!K79-'BFI Scores'!F79)^2</f>
        <v>1.8495999999999997</v>
      </c>
      <c r="G79" s="22">
        <f>('BFI Scores'!L79-'BFI Scores'!B79)^2</f>
        <v>1.9043999999999996</v>
      </c>
      <c r="H79" s="22">
        <f>('BFI Scores'!M79-'BFI Scores'!C79)^2</f>
        <v>2.2834567901234539</v>
      </c>
      <c r="I79" s="22">
        <f>('BFI Scores'!N79-'BFI Scores'!D79)^2</f>
        <v>6.3056790123456743</v>
      </c>
      <c r="J79" s="22">
        <f>('BFI Scores'!O79-'BFI Scores'!E79)^2</f>
        <v>6.187656249999999</v>
      </c>
      <c r="K79" s="22">
        <f>('BFI Scores'!P79-'BFI Scores'!F79)^2</f>
        <v>3.1329000000000002</v>
      </c>
      <c r="L79" s="22">
        <f>('BFI Scores'!Q79-'BFI Scores'!B79)^2</f>
        <v>3.3062500000000123E-3</v>
      </c>
      <c r="M79" s="22">
        <f>('BFI Scores'!R79-'BFI Scores'!C79)^2</f>
        <v>5.2390123456790176</v>
      </c>
      <c r="N79" s="22">
        <f>('BFI Scores'!S79-'BFI Scores'!D79)^2</f>
        <v>3.567901234567906</v>
      </c>
      <c r="O79" s="22">
        <f>('BFI Scores'!T79-'BFI Scores'!E79)^2</f>
        <v>4.78515625</v>
      </c>
      <c r="P79" s="22">
        <f>('BFI Scores'!U79-'BFI Scores'!F79)^2</f>
        <v>3.0975999999999995</v>
      </c>
      <c r="Q79" s="22">
        <f>('BFI Scores'!V79-'BFI Scores'!B79)^2</f>
        <v>0.21855624999999981</v>
      </c>
      <c r="R79" s="22">
        <f>('BFI Scores'!W79-'BFI Scores'!C79)^2</f>
        <v>8.2177777777777958</v>
      </c>
      <c r="S79" s="22">
        <f>('BFI Scores'!X79-'BFI Scores'!D79)^2</f>
        <v>7.170493827160505</v>
      </c>
      <c r="T79" s="22">
        <f>('BFI Scores'!Y79-'BFI Scores'!E79)^2</f>
        <v>7.0225000000000017</v>
      </c>
      <c r="U79" s="22">
        <f>('BFI Scores'!Z79-'BFI Scores'!F79)^2</f>
        <v>1.0816000000000001</v>
      </c>
      <c r="V79" s="29">
        <f>('BFI Scores'!AA79-'BFI Scores'!B79)^2</f>
        <v>0.4128062500000001</v>
      </c>
      <c r="W79" s="29">
        <f>('BFI Scores'!AB79-'BFI Scores'!C79)^2</f>
        <v>2.5245679012345712</v>
      </c>
      <c r="X79" s="29">
        <f>('BFI Scores'!AC79-'BFI Scores'!D79)^2</f>
        <v>8.2816049382716184</v>
      </c>
      <c r="Y79" s="29">
        <f>('BFI Scores'!AD79-'BFI Scores'!E79)^2</f>
        <v>6.890625</v>
      </c>
      <c r="Z79" s="29">
        <f>('BFI Scores'!AE79-'BFI Scores'!F79)^2</f>
        <v>2.2800999999999996</v>
      </c>
      <c r="AA79" s="29">
        <f>('BFI Scores'!AF79-'BFI Scores'!B79)^2</f>
        <v>0.60839999999999972</v>
      </c>
      <c r="AB79" s="29">
        <f>('BFI Scores'!AG79-'BFI Scores'!C79)^2</f>
        <v>1.9912345679012318</v>
      </c>
      <c r="AC79" s="29">
        <f>('BFI Scores'!AH79-'BFI Scores'!D79)^2</f>
        <v>8.2816049382716184</v>
      </c>
      <c r="AD79" s="29">
        <f>('BFI Scores'!AI79-'BFI Scores'!E79)^2</f>
        <v>6.890625</v>
      </c>
      <c r="AE79" s="29">
        <f>('BFI Scores'!AJ79-'BFI Scores'!F79)^2</f>
        <v>2.8899999999999992</v>
      </c>
      <c r="AF79" s="23">
        <f t="shared" si="12"/>
        <v>3.9025413580246893</v>
      </c>
      <c r="AG79" s="23">
        <f t="shared" si="13"/>
        <v>3.9628184104938255</v>
      </c>
      <c r="AH79" s="23">
        <f t="shared" si="14"/>
        <v>3.3385952160493844</v>
      </c>
      <c r="AI79" s="23">
        <f t="shared" si="15"/>
        <v>4.7421855709876608</v>
      </c>
      <c r="AJ79" s="30">
        <f t="shared" si="16"/>
        <v>4.0779408179012382</v>
      </c>
      <c r="AK79" s="30">
        <f t="shared" si="17"/>
        <v>4.1323729012345698</v>
      </c>
    </row>
    <row r="80" spans="1:37" x14ac:dyDescent="0.2">
      <c r="A80" s="21">
        <v>83220</v>
      </c>
      <c r="B80" s="22">
        <f>('BFI Scores'!G80-'BFI Scores'!B80)^2</f>
        <v>1.3398062500000005</v>
      </c>
      <c r="C80" s="22">
        <f>('BFI Scores'!H80-'BFI Scores'!C80)^2</f>
        <v>3.1604938271613238E-4</v>
      </c>
      <c r="D80" s="22">
        <f>('BFI Scores'!I80-'BFI Scores'!D80)^2</f>
        <v>0.34287530864196913</v>
      </c>
      <c r="E80" s="22">
        <f>('BFI Scores'!J80-'BFI Scores'!E80)^2</f>
        <v>0.78765624999999995</v>
      </c>
      <c r="F80" s="22">
        <f>('BFI Scores'!K80-'BFI Scores'!F80)^2</f>
        <v>1.6000000000000029E-3</v>
      </c>
      <c r="G80" s="22">
        <f>('BFI Scores'!L80-'BFI Scores'!B80)^2</f>
        <v>3.0450250000000003</v>
      </c>
      <c r="H80" s="22">
        <f>('BFI Scores'!M80-'BFI Scores'!C80)^2</f>
        <v>1.0586123456790144</v>
      </c>
      <c r="I80" s="22">
        <f>('BFI Scores'!N80-'BFI Scores'!D80)^2</f>
        <v>4.3495419753086608</v>
      </c>
      <c r="J80" s="22">
        <f>('BFI Scores'!O80-'BFI Scores'!E80)^2</f>
        <v>1.8225000000000002</v>
      </c>
      <c r="K80" s="22">
        <f>('BFI Scores'!P80-'BFI Scores'!F80)^2</f>
        <v>1.0816000000000001</v>
      </c>
      <c r="L80" s="22">
        <f>('BFI Scores'!Q80-'BFI Scores'!B80)^2</f>
        <v>1.6129</v>
      </c>
      <c r="M80" s="22">
        <f>('BFI Scores'!R80-'BFI Scores'!C80)^2</f>
        <v>2.2167901234568219E-2</v>
      </c>
      <c r="N80" s="22">
        <f>('BFI Scores'!S80-'BFI Scores'!D80)^2</f>
        <v>1.038134567901237</v>
      </c>
      <c r="O80" s="22">
        <f>('BFI Scores'!T80-'BFI Scores'!E80)^2</f>
        <v>0.765625</v>
      </c>
      <c r="P80" s="22">
        <f>('BFI Scores'!U80-'BFI Scores'!F80)^2</f>
        <v>0.34809999999999985</v>
      </c>
      <c r="Q80" s="22">
        <f>('BFI Scores'!V80-'BFI Scores'!B80)^2</f>
        <v>7.535025000000001</v>
      </c>
      <c r="R80" s="22">
        <f>('BFI Scores'!W80-'BFI Scores'!C80)^2</f>
        <v>1.0358716049382763</v>
      </c>
      <c r="S80" s="22">
        <f>('BFI Scores'!X80-'BFI Scores'!D80)^2</f>
        <v>5.2237641975308859</v>
      </c>
      <c r="T80" s="22">
        <f>('BFI Scores'!Y80-'BFI Scores'!E80)^2</f>
        <v>0.17015625000000006</v>
      </c>
      <c r="U80" s="22">
        <f>('BFI Scores'!Z80-'BFI Scores'!F80)^2</f>
        <v>4.7523999999999988</v>
      </c>
      <c r="V80" s="29">
        <f>('BFI Scores'!AA80-'BFI Scores'!B80)^2</f>
        <v>1.4280250000000008</v>
      </c>
      <c r="W80" s="29">
        <f>('BFI Scores'!AB80-'BFI Scores'!C80)^2</f>
        <v>3.6000000000000064E-3</v>
      </c>
      <c r="X80" s="29">
        <f>('BFI Scores'!AC80-'BFI Scores'!D80)^2</f>
        <v>2.4788753086419617</v>
      </c>
      <c r="Y80" s="29">
        <f>('BFI Scores'!AD80-'BFI Scores'!E80)^2</f>
        <v>0.60062499999999985</v>
      </c>
      <c r="Z80" s="29">
        <f>('BFI Scores'!AE80-'BFI Scores'!F80)^2</f>
        <v>4.0000000000000072E-4</v>
      </c>
      <c r="AA80" s="29">
        <f>('BFI Scores'!AF80-'BFI Scores'!B80)^2</f>
        <v>7.46655625</v>
      </c>
      <c r="AB80" s="29">
        <f>('BFI Scores'!AG80-'BFI Scores'!C80)^2</f>
        <v>0.30372345679012197</v>
      </c>
      <c r="AC80" s="29">
        <f>('BFI Scores'!AH80-'BFI Scores'!D80)^2</f>
        <v>5.0725049382715941</v>
      </c>
      <c r="AD80" s="29">
        <f>('BFI Scores'!AI80-'BFI Scores'!E80)^2</f>
        <v>0.72250000000000014</v>
      </c>
      <c r="AE80" s="29">
        <f>('BFI Scores'!AJ80-'BFI Scores'!F80)^2</f>
        <v>1.2544000000000002</v>
      </c>
      <c r="AF80" s="23">
        <f t="shared" si="12"/>
        <v>0.49445077160493706</v>
      </c>
      <c r="AG80" s="23">
        <f t="shared" si="13"/>
        <v>2.2714558641975353</v>
      </c>
      <c r="AH80" s="23">
        <f t="shared" si="14"/>
        <v>0.75738549382716103</v>
      </c>
      <c r="AI80" s="23">
        <f t="shared" si="15"/>
        <v>3.7434434104938328</v>
      </c>
      <c r="AJ80" s="30">
        <f t="shared" si="16"/>
        <v>0.90230506172839253</v>
      </c>
      <c r="AK80" s="30">
        <f t="shared" si="17"/>
        <v>2.9639369290123434</v>
      </c>
    </row>
    <row r="81" spans="1:37" x14ac:dyDescent="0.2">
      <c r="A81" s="21">
        <v>84409</v>
      </c>
      <c r="B81" s="22">
        <f>('BFI Scores'!G81-'BFI Scores'!B81)^2</f>
        <v>0.25</v>
      </c>
      <c r="C81" s="22">
        <f>('BFI Scores'!H81-'BFI Scores'!C81)^2</f>
        <v>3.6000000000000064E-3</v>
      </c>
      <c r="D81" s="22">
        <f>('BFI Scores'!I81-'BFI Scores'!D81)^2</f>
        <v>0.95170864197531768</v>
      </c>
      <c r="E81" s="22">
        <f>('BFI Scores'!J81-'BFI Scores'!E81)^2</f>
        <v>0.17015625000000006</v>
      </c>
      <c r="F81" s="22">
        <f>('BFI Scores'!K81-'BFI Scores'!F81)^2</f>
        <v>1.2321000000000002</v>
      </c>
      <c r="G81" s="22">
        <f>('BFI Scores'!L81-'BFI Scores'!B81)^2</f>
        <v>0.25</v>
      </c>
      <c r="H81" s="22">
        <f>('BFI Scores'!M81-'BFI Scores'!C81)^2</f>
        <v>2.2834567901234192E-2</v>
      </c>
      <c r="I81" s="22">
        <f>('BFI Scores'!N81-'BFI Scores'!D81)^2</f>
        <v>0.88778271604937908</v>
      </c>
      <c r="J81" s="22">
        <f>('BFI Scores'!O81-'BFI Scores'!E81)^2</f>
        <v>1.1826562499999997</v>
      </c>
      <c r="K81" s="22">
        <f>('BFI Scores'!P81-'BFI Scores'!F81)^2</f>
        <v>1.0609000000000006</v>
      </c>
      <c r="L81" s="22">
        <f>('BFI Scores'!Q81-'BFI Scores'!B81)^2</f>
        <v>5.0064062499999995</v>
      </c>
      <c r="M81" s="22">
        <f>('BFI Scores'!R81-'BFI Scores'!C81)^2</f>
        <v>3.3204938271604152E-2</v>
      </c>
      <c r="N81" s="22">
        <f>('BFI Scores'!S81-'BFI Scores'!D81)^2</f>
        <v>0.61884444444444997</v>
      </c>
      <c r="O81" s="22">
        <f>('BFI Scores'!T81-'BFI Scores'!E81)^2</f>
        <v>0</v>
      </c>
      <c r="P81" s="22">
        <f>('BFI Scores'!U81-'BFI Scores'!F81)^2</f>
        <v>0.4624000000000002</v>
      </c>
      <c r="Q81" s="22">
        <f>('BFI Scores'!V81-'BFI Scores'!B81)^2</f>
        <v>4.100625</v>
      </c>
      <c r="R81" s="22">
        <f>('BFI Scores'!W81-'BFI Scores'!C81)^2</f>
        <v>1.3353086419754079E-2</v>
      </c>
      <c r="S81" s="22">
        <f>('BFI Scores'!X81-'BFI Scores'!D81)^2</f>
        <v>1.0631901234567882</v>
      </c>
      <c r="T81" s="22">
        <f>('BFI Scores'!Y81-'BFI Scores'!E81)^2</f>
        <v>6.25E-2</v>
      </c>
      <c r="U81" s="22">
        <f>('BFI Scores'!Z81-'BFI Scores'!F81)^2</f>
        <v>0.15999999999999992</v>
      </c>
      <c r="V81" s="29">
        <f>('BFI Scores'!AA81-'BFI Scores'!B81)^2</f>
        <v>0.19140625</v>
      </c>
      <c r="W81" s="29">
        <f>('BFI Scores'!AB81-'BFI Scores'!C81)^2</f>
        <v>1.3871604938272072E-2</v>
      </c>
      <c r="X81" s="29">
        <f>('BFI Scores'!AC81-'BFI Scores'!D81)^2</f>
        <v>0.80600493827160891</v>
      </c>
      <c r="Y81" s="29">
        <f>('BFI Scores'!AD81-'BFI Scores'!E81)^2</f>
        <v>2.6814062500000007</v>
      </c>
      <c r="Z81" s="29">
        <f>('BFI Scores'!AE81-'BFI Scores'!F81)^2</f>
        <v>0.77439999999999987</v>
      </c>
      <c r="AA81" s="29">
        <f>('BFI Scores'!AF81-'BFI Scores'!B81)^2</f>
        <v>0.25</v>
      </c>
      <c r="AB81" s="29">
        <f>('BFI Scores'!AG81-'BFI Scores'!C81)^2</f>
        <v>4.7427160493828065E-2</v>
      </c>
      <c r="AC81" s="29">
        <f>('BFI Scores'!AH81-'BFI Scores'!D81)^2</f>
        <v>1.3301777777777706</v>
      </c>
      <c r="AD81" s="29">
        <f>('BFI Scores'!AI81-'BFI Scores'!E81)^2</f>
        <v>0.9025000000000003</v>
      </c>
      <c r="AE81" s="29">
        <f>('BFI Scores'!AJ81-'BFI Scores'!F81)^2</f>
        <v>0.30250000000000027</v>
      </c>
      <c r="AF81" s="23">
        <f t="shared" si="12"/>
        <v>0.5215129783950635</v>
      </c>
      <c r="AG81" s="23">
        <f t="shared" si="13"/>
        <v>0.6808347067901227</v>
      </c>
      <c r="AH81" s="23">
        <f t="shared" si="14"/>
        <v>1.2241711265432109</v>
      </c>
      <c r="AI81" s="23">
        <f t="shared" si="15"/>
        <v>1.0799336419753085</v>
      </c>
      <c r="AJ81" s="30">
        <f t="shared" si="16"/>
        <v>0.89341780864197629</v>
      </c>
      <c r="AK81" s="30">
        <f t="shared" si="17"/>
        <v>0.5665209876543198</v>
      </c>
    </row>
    <row r="82" spans="1:37" x14ac:dyDescent="0.2">
      <c r="A82" s="21">
        <v>87091</v>
      </c>
      <c r="B82" s="22">
        <f>('BFI Scores'!G82-'BFI Scores'!B82)^2</f>
        <v>1.7556250000000004</v>
      </c>
      <c r="C82" s="22">
        <f>('BFI Scores'!H82-'BFI Scores'!C82)^2</f>
        <v>0.49000000000000027</v>
      </c>
      <c r="D82" s="22">
        <f>('BFI Scores'!I82-'BFI Scores'!D82)^2</f>
        <v>6.4741975308641742</v>
      </c>
      <c r="E82" s="22">
        <f>('BFI Scores'!J82-'BFI Scores'!E82)^2</f>
        <v>0.11390624999999995</v>
      </c>
      <c r="F82" s="22">
        <f>('BFI Scores'!K82-'BFI Scores'!F82)^2</f>
        <v>5.4756000000000018</v>
      </c>
      <c r="G82" s="22">
        <f>('BFI Scores'!L82-'BFI Scores'!B82)^2</f>
        <v>1.6576562500000003</v>
      </c>
      <c r="H82" s="22">
        <f>('BFI Scores'!M82-'BFI Scores'!C82)^2</f>
        <v>3.8677777777777904</v>
      </c>
      <c r="I82" s="22">
        <f>('BFI Scores'!N82-'BFI Scores'!D82)^2</f>
        <v>8.2177777777777958</v>
      </c>
      <c r="J82" s="22">
        <f>('BFI Scores'!O82-'BFI Scores'!E82)^2</f>
        <v>1.6899999999999995</v>
      </c>
      <c r="K82" s="22">
        <f>('BFI Scores'!P82-'BFI Scores'!F82)^2</f>
        <v>2.8224000000000005</v>
      </c>
      <c r="L82" s="22">
        <f>('BFI Scores'!Q82-'BFI Scores'!B82)^2</f>
        <v>0.10562500000000012</v>
      </c>
      <c r="M82" s="22">
        <f>('BFI Scores'!R82-'BFI Scores'!C82)^2</f>
        <v>2.2834567901234539</v>
      </c>
      <c r="N82" s="22">
        <f>('BFI Scores'!S82-'BFI Scores'!D82)^2</f>
        <v>8.2816049382716184</v>
      </c>
      <c r="O82" s="22">
        <f>('BFI Scores'!T82-'BFI Scores'!E82)^2</f>
        <v>0.66015625</v>
      </c>
      <c r="P82" s="22">
        <f>('BFI Scores'!U82-'BFI Scores'!F82)^2</f>
        <v>4.41</v>
      </c>
      <c r="Q82" s="22">
        <f>('BFI Scores'!V82-'BFI Scores'!B82)^2</f>
        <v>9.765625E-2</v>
      </c>
      <c r="R82" s="22">
        <f>('BFI Scores'!W82-'BFI Scores'!C82)^2</f>
        <v>3.9556790123456826</v>
      </c>
      <c r="S82" s="22">
        <f>('BFI Scores'!X82-'BFI Scores'!D82)^2</f>
        <v>4.1344444444444317</v>
      </c>
      <c r="T82" s="22">
        <f>('BFI Scores'!Y82-'BFI Scores'!E82)^2</f>
        <v>6.890625</v>
      </c>
      <c r="U82" s="22">
        <f>('BFI Scores'!Z82-'BFI Scores'!F82)^2</f>
        <v>2.6896000000000004</v>
      </c>
      <c r="V82" s="29">
        <f>('BFI Scores'!AA82-'BFI Scores'!B82)^2</f>
        <v>1.4701562499999998</v>
      </c>
      <c r="W82" s="29">
        <f>('BFI Scores'!AB82-'BFI Scores'!C82)^2</f>
        <v>0.47456790123456943</v>
      </c>
      <c r="X82" s="29">
        <f>('BFI Scores'!AC82-'BFI Scores'!D82)^2</f>
        <v>6.934444444444428</v>
      </c>
      <c r="Y82" s="29">
        <f>('BFI Scores'!AD82-'BFI Scores'!E82)^2</f>
        <v>1.8906249999999989E-2</v>
      </c>
      <c r="Z82" s="29">
        <f>('BFI Scores'!AE82-'BFI Scores'!F82)^2</f>
        <v>5.3361000000000001</v>
      </c>
      <c r="AA82" s="29">
        <f>('BFI Scores'!AF82-'BFI Scores'!B82)^2</f>
        <v>0.13140624999999986</v>
      </c>
      <c r="AB82" s="29">
        <f>('BFI Scores'!AG82-'BFI Scores'!C82)^2</f>
        <v>2.4197530864197665</v>
      </c>
      <c r="AC82" s="29">
        <f>('BFI Scores'!AH82-'BFI Scores'!D82)^2</f>
        <v>8.4745679012345612</v>
      </c>
      <c r="AD82" s="29">
        <f>('BFI Scores'!AI82-'BFI Scores'!E82)^2</f>
        <v>3.0625</v>
      </c>
      <c r="AE82" s="29">
        <f>('BFI Scores'!AJ82-'BFI Scores'!F82)^2</f>
        <v>2.9240999999999997</v>
      </c>
      <c r="AF82" s="23">
        <f t="shared" si="12"/>
        <v>2.8618657561728353</v>
      </c>
      <c r="AG82" s="23">
        <f t="shared" si="13"/>
        <v>3.651122361111117</v>
      </c>
      <c r="AH82" s="23">
        <f t="shared" si="14"/>
        <v>3.1481685956790146</v>
      </c>
      <c r="AI82" s="23">
        <f t="shared" si="15"/>
        <v>3.553600941358023</v>
      </c>
      <c r="AJ82" s="30">
        <f t="shared" si="16"/>
        <v>2.8468349691357995</v>
      </c>
      <c r="AK82" s="30">
        <f t="shared" si="17"/>
        <v>3.402465447530866</v>
      </c>
    </row>
    <row r="83" spans="1:37" x14ac:dyDescent="0.2">
      <c r="A83" s="21">
        <v>87842</v>
      </c>
      <c r="B83" s="22">
        <f>('BFI Scores'!G83-'BFI Scores'!B83)^2</f>
        <v>1.5813062500000008</v>
      </c>
      <c r="C83" s="22">
        <f>('BFI Scores'!H83-'BFI Scores'!C83)^2</f>
        <v>0.72439012345678755</v>
      </c>
      <c r="D83" s="22">
        <f>('BFI Scores'!I83-'BFI Scores'!D83)^2</f>
        <v>1.0022234567901211</v>
      </c>
      <c r="E83" s="22">
        <f>('BFI Scores'!J83-'BFI Scores'!E83)^2</f>
        <v>8.5562499999999632E-3</v>
      </c>
      <c r="F83" s="22">
        <f>('BFI Scores'!K83-'BFI Scores'!F83)^2</f>
        <v>1.0000000000000461E-4</v>
      </c>
      <c r="G83" s="22">
        <f>('BFI Scores'!L83-'BFI Scores'!B83)^2</f>
        <v>1.8769000000000002</v>
      </c>
      <c r="H83" s="22">
        <f>('BFI Scores'!M83-'BFI Scores'!C83)^2</f>
        <v>0.38164938271605181</v>
      </c>
      <c r="I83" s="22">
        <f>('BFI Scores'!N83-'BFI Scores'!D83)^2</f>
        <v>1.140149382716054</v>
      </c>
      <c r="J83" s="22">
        <f>('BFI Scores'!O83-'BFI Scores'!E83)^2</f>
        <v>0.15405624999999989</v>
      </c>
      <c r="K83" s="22">
        <f>('BFI Scores'!P83-'BFI Scores'!F83)^2</f>
        <v>0.20249999999999976</v>
      </c>
      <c r="L83" s="22">
        <f>('BFI Scores'!Q83-'BFI Scores'!B83)^2</f>
        <v>2.5840562499999997</v>
      </c>
      <c r="M83" s="22">
        <f>('BFI Scores'!R83-'BFI Scores'!C83)^2</f>
        <v>0.1155999999999999</v>
      </c>
      <c r="N83" s="22">
        <f>('BFI Scores'!S83-'BFI Scores'!D83)^2</f>
        <v>1.8708160493827226</v>
      </c>
      <c r="O83" s="22">
        <f>('BFI Scores'!T83-'BFI Scores'!E83)^2</f>
        <v>0.20702499999999988</v>
      </c>
      <c r="P83" s="22">
        <f>('BFI Scores'!U83-'BFI Scores'!F83)^2</f>
        <v>9.0000000000001494E-4</v>
      </c>
      <c r="Q83" s="22">
        <f>('BFI Scores'!V83-'BFI Scores'!B83)^2</f>
        <v>3.9800250000000004</v>
      </c>
      <c r="R83" s="22">
        <f>('BFI Scores'!W83-'BFI Scores'!C83)^2</f>
        <v>0.37890864197530189</v>
      </c>
      <c r="S83" s="22">
        <f>('BFI Scores'!X83-'BFI Scores'!D83)^2</f>
        <v>0.95822345679012566</v>
      </c>
      <c r="T83" s="22">
        <f>('BFI Scores'!Y83-'BFI Scores'!E83)^2</f>
        <v>3.8318062500000001</v>
      </c>
      <c r="U83" s="22">
        <f>('BFI Scores'!Z83-'BFI Scores'!F83)^2</f>
        <v>0.51839999999999964</v>
      </c>
      <c r="V83" s="29">
        <f>('BFI Scores'!AA83-'BFI Scores'!B83)^2</f>
        <v>1.9810562500000006</v>
      </c>
      <c r="W83" s="29">
        <f>('BFI Scores'!AB83-'BFI Scores'!C83)^2</f>
        <v>0.92587160493826792</v>
      </c>
      <c r="X83" s="29">
        <f>('BFI Scores'!AC83-'BFI Scores'!D83)^2</f>
        <v>0.83214938271604544</v>
      </c>
      <c r="Y83" s="29">
        <f>('BFI Scores'!AD83-'BFI Scores'!E83)^2</f>
        <v>4.0000000000000072E-4</v>
      </c>
      <c r="Z83" s="29">
        <f>('BFI Scores'!AE83-'BFI Scores'!F83)^2</f>
        <v>3.6000000000000064E-3</v>
      </c>
      <c r="AA83" s="29">
        <f>('BFI Scores'!AF83-'BFI Scores'!B83)^2</f>
        <v>4.1820249999999994</v>
      </c>
      <c r="AB83" s="29">
        <f>('BFI Scores'!AG83-'BFI Scores'!C83)^2</f>
        <v>0.42394567901234465</v>
      </c>
      <c r="AC83" s="29">
        <f>('BFI Scores'!AH83-'BFI Scores'!D83)^2</f>
        <v>2.599260493827154</v>
      </c>
      <c r="AD83" s="29">
        <f>('BFI Scores'!AI83-'BFI Scores'!E83)^2</f>
        <v>0.21855624999999981</v>
      </c>
      <c r="AE83" s="29">
        <f>('BFI Scores'!AJ83-'BFI Scores'!F83)^2</f>
        <v>0.22089999999999976</v>
      </c>
      <c r="AF83" s="23">
        <f t="shared" si="12"/>
        <v>0.66331521604938193</v>
      </c>
      <c r="AG83" s="23">
        <f t="shared" si="13"/>
        <v>0.75105100308642114</v>
      </c>
      <c r="AH83" s="23">
        <f t="shared" si="14"/>
        <v>0.95567945987654424</v>
      </c>
      <c r="AI83" s="23">
        <f t="shared" si="15"/>
        <v>1.9334726697530857</v>
      </c>
      <c r="AJ83" s="30">
        <f t="shared" si="16"/>
        <v>0.74861544753086284</v>
      </c>
      <c r="AK83" s="30">
        <f t="shared" si="17"/>
        <v>1.5289374845678996</v>
      </c>
    </row>
    <row r="84" spans="1:37" x14ac:dyDescent="0.2">
      <c r="A84" s="21">
        <v>88009</v>
      </c>
      <c r="B84" s="22">
        <f>('BFI Scores'!G84-'BFI Scores'!B84)^2</f>
        <v>2.0808062499999997</v>
      </c>
      <c r="C84" s="22">
        <f>('BFI Scores'!H84-'BFI Scores'!C84)^2</f>
        <v>7.8399999999999886E-2</v>
      </c>
      <c r="D84" s="22">
        <f>('BFI Scores'!I84-'BFI Scores'!D84)^2</f>
        <v>5.2390123456790644E-2</v>
      </c>
      <c r="E84" s="22">
        <f>('BFI Scores'!J84-'BFI Scores'!E84)^2</f>
        <v>2.4024999999999939E-2</v>
      </c>
      <c r="F84" s="22">
        <f>('BFI Scores'!K84-'BFI Scores'!F84)^2</f>
        <v>0.6241000000000001</v>
      </c>
      <c r="G84" s="22">
        <f>('BFI Scores'!L84-'BFI Scores'!B84)^2</f>
        <v>0.44555624999999999</v>
      </c>
      <c r="H84" s="22">
        <f>('BFI Scores'!M84-'BFI Scores'!C84)^2</f>
        <v>1.7777777777767939E-4</v>
      </c>
      <c r="I84" s="22">
        <f>('BFI Scores'!N84-'BFI Scores'!D84)^2</f>
        <v>0.26809382716049623</v>
      </c>
      <c r="J84" s="22">
        <f>('BFI Scores'!O84-'BFI Scores'!E84)^2</f>
        <v>0.62805624999999998</v>
      </c>
      <c r="K84" s="22">
        <f>('BFI Scores'!P84-'BFI Scores'!F84)^2</f>
        <v>7.8400000000000136E-2</v>
      </c>
      <c r="L84" s="22">
        <f>('BFI Scores'!Q84-'BFI Scores'!B84)^2</f>
        <v>4.0000000000000072E-4</v>
      </c>
      <c r="M84" s="22">
        <f>('BFI Scores'!R84-'BFI Scores'!C84)^2</f>
        <v>0.91733827160494175</v>
      </c>
      <c r="N84" s="22">
        <f>('BFI Scores'!S84-'BFI Scores'!D84)^2</f>
        <v>8.7111111111105189E-3</v>
      </c>
      <c r="O84" s="22">
        <f>('BFI Scores'!T84-'BFI Scores'!E84)^2</f>
        <v>4.2024999999999937E-2</v>
      </c>
      <c r="P84" s="22">
        <f>('BFI Scores'!U84-'BFI Scores'!F84)^2</f>
        <v>1.6899999999999971E-2</v>
      </c>
      <c r="Q84" s="22">
        <f>('BFI Scores'!V84-'BFI Scores'!B84)^2</f>
        <v>0.12780624999999995</v>
      </c>
      <c r="R84" s="22">
        <f>('BFI Scores'!W84-'BFI Scores'!C84)^2</f>
        <v>0.37617777777777334</v>
      </c>
      <c r="S84" s="22">
        <f>('BFI Scores'!X84-'BFI Scores'!D84)^2</f>
        <v>0.21159999999999995</v>
      </c>
      <c r="T84" s="22">
        <f>('BFI Scores'!Y84-'BFI Scores'!E84)^2</f>
        <v>2.3104</v>
      </c>
      <c r="U84" s="22">
        <f>('BFI Scores'!Z84-'BFI Scores'!F84)^2</f>
        <v>0.20249999999999976</v>
      </c>
      <c r="V84" s="29">
        <f>('BFI Scores'!AA84-'BFI Scores'!B84)^2</f>
        <v>1.8700562499999998</v>
      </c>
      <c r="W84" s="29">
        <f>('BFI Scores'!AB84-'BFI Scores'!C84)^2</f>
        <v>5.0375308641973315E-2</v>
      </c>
      <c r="X84" s="29">
        <f>('BFI Scores'!AC84-'BFI Scores'!D84)^2</f>
        <v>3.3204938271604152E-2</v>
      </c>
      <c r="Y84" s="29">
        <f>('BFI Scores'!AD84-'BFI Scores'!E84)^2</f>
        <v>1.6899999999999971E-2</v>
      </c>
      <c r="Z84" s="29">
        <f>('BFI Scores'!AE84-'BFI Scores'!F84)^2</f>
        <v>8.99999999999999E-2</v>
      </c>
      <c r="AA84" s="29">
        <f>('BFI Scores'!AF84-'BFI Scores'!B84)^2</f>
        <v>0.16402499999999984</v>
      </c>
      <c r="AB84" s="29">
        <f>('BFI Scores'!AG84-'BFI Scores'!C84)^2</f>
        <v>2.3511111111110154E-2</v>
      </c>
      <c r="AC84" s="29">
        <f>('BFI Scores'!AH84-'BFI Scores'!D84)^2</f>
        <v>0.24557530864197946</v>
      </c>
      <c r="AD84" s="29">
        <f>('BFI Scores'!AI84-'BFI Scores'!E84)^2</f>
        <v>1.4400000000000026E-2</v>
      </c>
      <c r="AE84" s="29">
        <f>('BFI Scores'!AJ84-'BFI Scores'!F84)^2</f>
        <v>8.99999999999999E-2</v>
      </c>
      <c r="AF84" s="23">
        <f t="shared" si="12"/>
        <v>0.57194427469135811</v>
      </c>
      <c r="AG84" s="23">
        <f t="shared" si="13"/>
        <v>0.28405682098765483</v>
      </c>
      <c r="AH84" s="23">
        <f t="shared" si="14"/>
        <v>0.19707487654321043</v>
      </c>
      <c r="AI84" s="23">
        <f t="shared" si="15"/>
        <v>0.64569680555555453</v>
      </c>
      <c r="AJ84" s="30">
        <f t="shared" si="16"/>
        <v>0.41210729938271545</v>
      </c>
      <c r="AK84" s="30">
        <f t="shared" si="17"/>
        <v>0.10750228395061787</v>
      </c>
    </row>
    <row r="85" spans="1:37" x14ac:dyDescent="0.2">
      <c r="A85" s="21">
        <v>88147</v>
      </c>
      <c r="B85" s="22">
        <f>('BFI Scores'!G85-'BFI Scores'!B85)^2</f>
        <v>0.18489999999999976</v>
      </c>
      <c r="C85" s="22">
        <f>('BFI Scores'!H85-'BFI Scores'!C85)^2</f>
        <v>0.11711604938271436</v>
      </c>
      <c r="D85" s="22">
        <f>('BFI Scores'!I85-'BFI Scores'!D85)^2</f>
        <v>1.9693444444444632</v>
      </c>
      <c r="E85" s="22">
        <f>('BFI Scores'!J85-'BFI Scores'!E85)^2</f>
        <v>8.5562499999999632E-3</v>
      </c>
      <c r="F85" s="22">
        <f>('BFI Scores'!K85-'BFI Scores'!F85)^2</f>
        <v>2.8899999999999974E-2</v>
      </c>
      <c r="G85" s="22">
        <f>('BFI Scores'!L85-'BFI Scores'!B85)^2</f>
        <v>6.0270250000000001</v>
      </c>
      <c r="H85" s="22">
        <f>('BFI Scores'!M85-'BFI Scores'!C85)^2</f>
        <v>0.42684444444443981</v>
      </c>
      <c r="I85" s="22">
        <f>('BFI Scores'!N85-'BFI Scores'!D85)^2</f>
        <v>2.8899999999999974E-2</v>
      </c>
      <c r="J85" s="22">
        <f>('BFI Scores'!O85-'BFI Scores'!E85)^2</f>
        <v>0.59289999999999998</v>
      </c>
      <c r="K85" s="22">
        <f>('BFI Scores'!P85-'BFI Scores'!F85)^2</f>
        <v>0.20250000000000015</v>
      </c>
      <c r="L85" s="22">
        <f>('BFI Scores'!Q85-'BFI Scores'!B85)^2</f>
        <v>1.1556249999999985E-2</v>
      </c>
      <c r="M85" s="22">
        <f>('BFI Scores'!R85-'BFI Scores'!C85)^2</f>
        <v>0.37074567901234695</v>
      </c>
      <c r="N85" s="22">
        <f>('BFI Scores'!S85-'BFI Scores'!D85)^2</f>
        <v>2.6424308641975456</v>
      </c>
      <c r="O85" s="22">
        <f>('BFI Scores'!T85-'BFI Scores'!E85)^2</f>
        <v>2.8899999999999974E-2</v>
      </c>
      <c r="P85" s="22">
        <f>('BFI Scores'!U85-'BFI Scores'!F85)^2</f>
        <v>1.6000000000000029E-3</v>
      </c>
      <c r="Q85" s="22">
        <f>('BFI Scores'!V85-'BFI Scores'!B85)^2</f>
        <v>2.0093062499999998</v>
      </c>
      <c r="R85" s="22">
        <f>('BFI Scores'!W85-'BFI Scores'!C85)^2</f>
        <v>0.10239999999999989</v>
      </c>
      <c r="S85" s="22">
        <f>('BFI Scores'!X85-'BFI Scores'!D85)^2</f>
        <v>0.81601111111110469</v>
      </c>
      <c r="T85" s="22">
        <f>('BFI Scores'!Y85-'BFI Scores'!E85)^2</f>
        <v>1.4580562500000012</v>
      </c>
      <c r="U85" s="22">
        <f>('BFI Scores'!Z85-'BFI Scores'!F85)^2</f>
        <v>0.28090000000000004</v>
      </c>
      <c r="V85" s="29">
        <f>('BFI Scores'!AA85-'BFI Scores'!B85)^2</f>
        <v>6.0025000000000051E-2</v>
      </c>
      <c r="W85" s="29">
        <f>('BFI Scores'!AB85-'BFI Scores'!C85)^2</f>
        <v>9.5412345679012814E-2</v>
      </c>
      <c r="X85" s="29">
        <f>('BFI Scores'!AC85-'BFI Scores'!D85)^2</f>
        <v>2.7151716049382788</v>
      </c>
      <c r="Y85" s="29">
        <f>('BFI Scores'!AD85-'BFI Scores'!E85)^2</f>
        <v>0.126025</v>
      </c>
      <c r="Z85" s="29">
        <f>('BFI Scores'!AE85-'BFI Scores'!F85)^2</f>
        <v>3.6000000000000064E-3</v>
      </c>
      <c r="AA85" s="29">
        <f>('BFI Scores'!AF85-'BFI Scores'!B85)^2</f>
        <v>3.3033062499999994</v>
      </c>
      <c r="AB85" s="29">
        <f>('BFI Scores'!AG85-'BFI Scores'!C85)^2</f>
        <v>0.25896790123456886</v>
      </c>
      <c r="AC85" s="29">
        <f>('BFI Scores'!AH85-'BFI Scores'!D85)^2</f>
        <v>0.21057901234567963</v>
      </c>
      <c r="AD85" s="29">
        <f>('BFI Scores'!AI85-'BFI Scores'!E85)^2</f>
        <v>0.75690000000000024</v>
      </c>
      <c r="AE85" s="29">
        <f>('BFI Scores'!AJ85-'BFI Scores'!F85)^2</f>
        <v>0.27040000000000003</v>
      </c>
      <c r="AF85" s="23">
        <f t="shared" si="12"/>
        <v>0.46176334876543546</v>
      </c>
      <c r="AG85" s="23">
        <f t="shared" si="13"/>
        <v>1.455633888888888</v>
      </c>
      <c r="AH85" s="23">
        <f t="shared" si="14"/>
        <v>0.61104655864197854</v>
      </c>
      <c r="AI85" s="23">
        <f t="shared" si="15"/>
        <v>0.93333472222222102</v>
      </c>
      <c r="AJ85" s="30">
        <f t="shared" si="16"/>
        <v>0.6000467901234583</v>
      </c>
      <c r="AK85" s="30">
        <f t="shared" si="17"/>
        <v>0.96003063271604971</v>
      </c>
    </row>
    <row r="86" spans="1:37" x14ac:dyDescent="0.2">
      <c r="A86" s="21">
        <v>89703</v>
      </c>
      <c r="B86" s="22">
        <f>('BFI Scores'!G86-'BFI Scores'!B86)^2</f>
        <v>0.89302500000000051</v>
      </c>
      <c r="C86" s="22">
        <f>('BFI Scores'!H86-'BFI Scores'!C86)^2</f>
        <v>3.9512604938271689</v>
      </c>
      <c r="D86" s="22">
        <f>('BFI Scores'!I86-'BFI Scores'!D86)^2</f>
        <v>2.5316345679012304</v>
      </c>
      <c r="E86" s="22">
        <f>('BFI Scores'!J86-'BFI Scores'!E86)^2</f>
        <v>6.3378062500000008</v>
      </c>
      <c r="F86" s="22">
        <f>('BFI Scores'!K86-'BFI Scores'!F86)^2</f>
        <v>0.12960000000000024</v>
      </c>
      <c r="G86" s="22">
        <f>('BFI Scores'!L86-'BFI Scores'!B86)^2</f>
        <v>0.61230625000000027</v>
      </c>
      <c r="H86" s="22">
        <f>('BFI Scores'!M86-'BFI Scores'!C86)^2</f>
        <v>2.2134827160493598</v>
      </c>
      <c r="I86" s="22">
        <f>('BFI Scores'!N86-'BFI Scores'!D86)^2</f>
        <v>7.2301234567901634E-2</v>
      </c>
      <c r="J86" s="22">
        <f>('BFI Scores'!O86-'BFI Scores'!E86)^2</f>
        <v>9.4095562499999996</v>
      </c>
      <c r="K86" s="22">
        <f>('BFI Scores'!P86-'BFI Scores'!F86)^2</f>
        <v>0.75690000000000024</v>
      </c>
      <c r="L86" s="22">
        <f>('BFI Scores'!Q86-'BFI Scores'!B86)^2</f>
        <v>0.82355625000000032</v>
      </c>
      <c r="M86" s="22">
        <f>('BFI Scores'!R86-'BFI Scores'!C86)^2</f>
        <v>1.491112345679009</v>
      </c>
      <c r="N86" s="22">
        <f>('BFI Scores'!S86-'BFI Scores'!D86)^2</f>
        <v>0.60839999999999972</v>
      </c>
      <c r="O86" s="22">
        <f>('BFI Scores'!T86-'BFI Scores'!E86)^2</f>
        <v>0.44555624999999999</v>
      </c>
      <c r="P86" s="22">
        <f>('BFI Scores'!U86-'BFI Scores'!F86)^2</f>
        <v>1.6900000000000089E-2</v>
      </c>
      <c r="Q86" s="22">
        <f>('BFI Scores'!V86-'BFI Scores'!B86)^2</f>
        <v>1.7095562500000003</v>
      </c>
      <c r="R86" s="22">
        <f>('BFI Scores'!W86-'BFI Scores'!C86)^2</f>
        <v>2.7005444444444668</v>
      </c>
      <c r="S86" s="22">
        <f>('BFI Scores'!X86-'BFI Scores'!D86)^2</f>
        <v>0.6981530864197435</v>
      </c>
      <c r="T86" s="22">
        <f>('BFI Scores'!Y86-'BFI Scores'!E86)^2</f>
        <v>6.2750249999999994</v>
      </c>
      <c r="U86" s="22">
        <f>('BFI Scores'!Z86-'BFI Scores'!F86)^2</f>
        <v>7.8400000000000136E-2</v>
      </c>
      <c r="V86" s="29">
        <f>('BFI Scores'!AA86-'BFI Scores'!B86)^2</f>
        <v>1.9460250000000001</v>
      </c>
      <c r="W86" s="29">
        <f>('BFI Scores'!AB86-'BFI Scores'!C86)^2</f>
        <v>3.9072111111111232</v>
      </c>
      <c r="X86" s="29">
        <f>('BFI Scores'!AC86-'BFI Scores'!D86)^2</f>
        <v>1.610079012345681</v>
      </c>
      <c r="Y86" s="29">
        <f>('BFI Scores'!AD86-'BFI Scores'!E86)^2</f>
        <v>6.0270250000000001</v>
      </c>
      <c r="Z86" s="29">
        <f>('BFI Scores'!AE86-'BFI Scores'!F86)^2</f>
        <v>7.8400000000000136E-2</v>
      </c>
      <c r="AA86" s="29">
        <f>('BFI Scores'!AF86-'BFI Scores'!B86)^2</f>
        <v>1.3688999999999998</v>
      </c>
      <c r="AB86" s="29">
        <f>('BFI Scores'!AG86-'BFI Scores'!C86)^2</f>
        <v>0.91096419753087432</v>
      </c>
      <c r="AC86" s="29">
        <f>('BFI Scores'!AH86-'BFI Scores'!D86)^2</f>
        <v>6.3999999999999405E-3</v>
      </c>
      <c r="AD86" s="29">
        <f>('BFI Scores'!AI86-'BFI Scores'!E86)^2</f>
        <v>6.0270250000000001</v>
      </c>
      <c r="AE86" s="29">
        <f>('BFI Scores'!AJ86-'BFI Scores'!F86)^2</f>
        <v>0.84640000000000071</v>
      </c>
      <c r="AF86" s="23">
        <f t="shared" si="12"/>
        <v>2.7686652623456802</v>
      </c>
      <c r="AG86" s="23">
        <f t="shared" si="13"/>
        <v>2.6129092901234521</v>
      </c>
      <c r="AH86" s="23">
        <f t="shared" si="14"/>
        <v>0.67710496913580187</v>
      </c>
      <c r="AI86" s="23">
        <f t="shared" si="15"/>
        <v>2.2923357561728421</v>
      </c>
      <c r="AJ86" s="30">
        <f t="shared" si="16"/>
        <v>2.7137480246913608</v>
      </c>
      <c r="AK86" s="30">
        <f t="shared" si="17"/>
        <v>1.8319378395061752</v>
      </c>
    </row>
    <row r="87" spans="1:37" x14ac:dyDescent="0.2">
      <c r="A87" s="21">
        <v>91115</v>
      </c>
      <c r="B87" s="22">
        <f>('BFI Scores'!G87-'BFI Scores'!B87)^2</f>
        <v>0.75690000000000024</v>
      </c>
      <c r="C87" s="22">
        <f>('BFI Scores'!H87-'BFI Scores'!C87)^2</f>
        <v>0.10598641975308948</v>
      </c>
      <c r="D87" s="22">
        <f>('BFI Scores'!I87-'BFI Scores'!D87)^2</f>
        <v>0.33382716049382993</v>
      </c>
      <c r="E87" s="22">
        <f>('BFI Scores'!J87-'BFI Scores'!E87)^2</f>
        <v>0.80999999999999983</v>
      </c>
      <c r="F87" s="22">
        <f>('BFI Scores'!K87-'BFI Scores'!F87)^2</f>
        <v>0.38440000000000013</v>
      </c>
      <c r="G87" s="22">
        <f>('BFI Scores'!L87-'BFI Scores'!B87)^2</f>
        <v>0.60839999999999972</v>
      </c>
      <c r="H87" s="22">
        <f>('BFI Scores'!M87-'BFI Scores'!C87)^2</f>
        <v>2.6677777777776832E-2</v>
      </c>
      <c r="I87" s="22">
        <f>('BFI Scores'!N87-'BFI Scores'!D87)^2</f>
        <v>2.7041975308642163</v>
      </c>
      <c r="J87" s="22">
        <f>('BFI Scores'!O87-'BFI Scores'!E87)^2</f>
        <v>2.640625000000003E-2</v>
      </c>
      <c r="K87" s="22">
        <f>('BFI Scores'!P87-'BFI Scores'!F87)^2</f>
        <v>0.67239999999999978</v>
      </c>
      <c r="L87" s="22">
        <f>('BFI Scores'!Q87-'BFI Scores'!B87)^2</f>
        <v>0.59290000000000076</v>
      </c>
      <c r="M87" s="22">
        <f>('BFI Scores'!R87-'BFI Scores'!C87)^2</f>
        <v>2.6677777777776832E-2</v>
      </c>
      <c r="N87" s="22">
        <f>('BFI Scores'!S87-'BFI Scores'!D87)^2</f>
        <v>0.41530864197530282</v>
      </c>
      <c r="O87" s="22">
        <f>('BFI Scores'!T87-'BFI Scores'!E87)^2</f>
        <v>0.40640624999999997</v>
      </c>
      <c r="P87" s="22">
        <f>('BFI Scores'!U87-'BFI Scores'!F87)^2</f>
        <v>0.34809999999999985</v>
      </c>
      <c r="Q87" s="22">
        <f>('BFI Scores'!V87-'BFI Scores'!B87)^2</f>
        <v>0.10890000000000005</v>
      </c>
      <c r="R87" s="22">
        <f>('BFI Scores'!W87-'BFI Scores'!C87)^2</f>
        <v>1.2271716049382764</v>
      </c>
      <c r="S87" s="22">
        <f>('BFI Scores'!X87-'BFI Scores'!D87)^2</f>
        <v>3.567901234567906</v>
      </c>
      <c r="T87" s="22">
        <f>('BFI Scores'!Y87-'BFI Scores'!E87)^2</f>
        <v>2.3639062500000003</v>
      </c>
      <c r="U87" s="22">
        <f>('BFI Scores'!Z87-'BFI Scores'!F87)^2</f>
        <v>2.0735999999999999</v>
      </c>
      <c r="V87" s="29">
        <f>('BFI Scores'!AA87-'BFI Scores'!B87)^2</f>
        <v>0.71402499999999958</v>
      </c>
      <c r="W87" s="29">
        <f>('BFI Scores'!AB87-'BFI Scores'!C87)^2</f>
        <v>2.18382716049388E-2</v>
      </c>
      <c r="X87" s="29">
        <f>('BFI Scores'!AC87-'BFI Scores'!D87)^2</f>
        <v>0.80999999999999983</v>
      </c>
      <c r="Y87" s="29">
        <f>('BFI Scores'!AD87-'BFI Scores'!E87)^2</f>
        <v>0.50765624999999992</v>
      </c>
      <c r="Z87" s="29">
        <f>('BFI Scores'!AE87-'BFI Scores'!F87)^2</f>
        <v>0.44889999999999991</v>
      </c>
      <c r="AA87" s="29">
        <f>('BFI Scores'!AF87-'BFI Scores'!B87)^2</f>
        <v>2.0249999999999938E-3</v>
      </c>
      <c r="AB87" s="29">
        <f>('BFI Scores'!AG87-'BFI Scores'!C87)^2</f>
        <v>1.3097530864196544E-2</v>
      </c>
      <c r="AC87" s="29">
        <f>('BFI Scores'!AH87-'BFI Scores'!D87)^2</f>
        <v>3.0044444444444678</v>
      </c>
      <c r="AD87" s="29">
        <f>('BFI Scores'!AI87-'BFI Scores'!E87)^2</f>
        <v>0.13140625000000003</v>
      </c>
      <c r="AE87" s="29">
        <f>('BFI Scores'!AJ87-'BFI Scores'!F87)^2</f>
        <v>0.60839999999999972</v>
      </c>
      <c r="AF87" s="23">
        <f t="shared" si="12"/>
        <v>0.47822271604938393</v>
      </c>
      <c r="AG87" s="23">
        <f t="shared" si="13"/>
        <v>0.80761631172839843</v>
      </c>
      <c r="AH87" s="23">
        <f t="shared" si="14"/>
        <v>0.35787853395061603</v>
      </c>
      <c r="AI87" s="23">
        <f t="shared" si="15"/>
        <v>1.8682958179012368</v>
      </c>
      <c r="AJ87" s="30">
        <f t="shared" si="16"/>
        <v>0.50048390432098766</v>
      </c>
      <c r="AK87" s="30">
        <f t="shared" si="17"/>
        <v>0.75187464506173274</v>
      </c>
    </row>
    <row r="88" spans="1:37" x14ac:dyDescent="0.2">
      <c r="A88" s="21">
        <v>91981</v>
      </c>
      <c r="B88" s="22">
        <f>('BFI Scores'!G88-'BFI Scores'!B88)^2</f>
        <v>0.80999999999999983</v>
      </c>
      <c r="C88" s="22">
        <f>('BFI Scores'!H88-'BFI Scores'!C88)^2</f>
        <v>2.3901234567901761E-3</v>
      </c>
      <c r="D88" s="22">
        <f>('BFI Scores'!I88-'BFI Scores'!D88)^2</f>
        <v>0.3261679012345664</v>
      </c>
      <c r="E88" s="22">
        <f>('BFI Scores'!J88-'BFI Scores'!E88)^2</f>
        <v>0.16605625000000016</v>
      </c>
      <c r="F88" s="22">
        <f>('BFI Scores'!K88-'BFI Scores'!F88)^2</f>
        <v>0.44889999999999991</v>
      </c>
      <c r="G88" s="22">
        <f>('BFI Scores'!L88-'BFI Scores'!B88)^2</f>
        <v>2.25</v>
      </c>
      <c r="H88" s="22">
        <f>('BFI Scores'!M88-'BFI Scores'!C88)^2</f>
        <v>6.7599999999999882E-2</v>
      </c>
      <c r="I88" s="22">
        <f>('BFI Scores'!N88-'BFI Scores'!D88)^2</f>
        <v>5.3777777777788078E-3</v>
      </c>
      <c r="J88" s="22">
        <f>('BFI Scores'!O88-'BFI Scores'!E88)^2</f>
        <v>3.3062500000000123E-3</v>
      </c>
      <c r="K88" s="22">
        <f>('BFI Scores'!P88-'BFI Scores'!F88)^2</f>
        <v>0.3600000000000001</v>
      </c>
      <c r="L88" s="22">
        <f>('BFI Scores'!Q88-'BFI Scores'!B88)^2</f>
        <v>0.95062500000000016</v>
      </c>
      <c r="M88" s="22">
        <f>('BFI Scores'!R88-'BFI Scores'!C88)^2</f>
        <v>3.0044444444446757E-2</v>
      </c>
      <c r="N88" s="22">
        <f>('BFI Scores'!S88-'BFI Scores'!D88)^2</f>
        <v>0.79804444444443767</v>
      </c>
      <c r="O88" s="22">
        <f>('BFI Scores'!T88-'BFI Scores'!E88)^2</f>
        <v>2.6244000000000005</v>
      </c>
      <c r="P88" s="22">
        <f>('BFI Scores'!U88-'BFI Scores'!F88)^2</f>
        <v>0.30249999999999982</v>
      </c>
      <c r="Q88" s="22">
        <f>('BFI Scores'!V88-'BFI Scores'!B88)^2</f>
        <v>1.12890625</v>
      </c>
      <c r="R88" s="22">
        <f>('BFI Scores'!W88-'BFI Scores'!C88)^2</f>
        <v>0.40960000000000074</v>
      </c>
      <c r="S88" s="22">
        <f>('BFI Scores'!X88-'BFI Scores'!D88)^2</f>
        <v>1.6440938271604875</v>
      </c>
      <c r="T88" s="22">
        <f>('BFI Scores'!Y88-'BFI Scores'!E88)^2</f>
        <v>6.7990562499999996</v>
      </c>
      <c r="U88" s="22">
        <f>('BFI Scores'!Z88-'BFI Scores'!F88)^2</f>
        <v>0.50409999999999999</v>
      </c>
      <c r="V88" s="29">
        <f>('BFI Scores'!AA88-'BFI Scores'!B88)^2</f>
        <v>1.7556250000000004</v>
      </c>
      <c r="W88" s="29">
        <f>('BFI Scores'!AB88-'BFI Scores'!C88)^2</f>
        <v>3.5999999999999531E-3</v>
      </c>
      <c r="X88" s="29">
        <f>('BFI Scores'!AC88-'BFI Scores'!D88)^2</f>
        <v>0.24337777777777411</v>
      </c>
      <c r="Y88" s="29">
        <f>('BFI Scores'!AD88-'BFI Scores'!E88)^2</f>
        <v>0.2450250000000001</v>
      </c>
      <c r="Z88" s="29">
        <f>('BFI Scores'!AE88-'BFI Scores'!F88)^2</f>
        <v>0.28089999999999982</v>
      </c>
      <c r="AA88" s="29">
        <f>('BFI Scores'!AF88-'BFI Scores'!B88)^2</f>
        <v>2.0306249999999997</v>
      </c>
      <c r="AB88" s="29">
        <f>('BFI Scores'!AG88-'BFI Scores'!C88)^2</f>
        <v>5.1377777777778945E-2</v>
      </c>
      <c r="AC88" s="29">
        <f>('BFI Scores'!AH88-'BFI Scores'!D88)^2</f>
        <v>0.21159999999999995</v>
      </c>
      <c r="AD88" s="29">
        <f>('BFI Scores'!AI88-'BFI Scores'!E88)^2</f>
        <v>0.2450250000000001</v>
      </c>
      <c r="AE88" s="29">
        <f>('BFI Scores'!AJ88-'BFI Scores'!F88)^2</f>
        <v>0.80999999999999983</v>
      </c>
      <c r="AF88" s="23">
        <f t="shared" si="12"/>
        <v>0.35070285493827125</v>
      </c>
      <c r="AG88" s="23">
        <f t="shared" si="13"/>
        <v>0.53725680555555577</v>
      </c>
      <c r="AH88" s="23">
        <f t="shared" si="14"/>
        <v>0.94112277777777709</v>
      </c>
      <c r="AI88" s="23">
        <f t="shared" si="15"/>
        <v>2.0971512654320974</v>
      </c>
      <c r="AJ88" s="30">
        <f t="shared" si="16"/>
        <v>0.50570555555555496</v>
      </c>
      <c r="AK88" s="30">
        <f t="shared" si="17"/>
        <v>0.66972555555555568</v>
      </c>
    </row>
    <row r="89" spans="1:37" x14ac:dyDescent="0.2">
      <c r="A89" s="21">
        <v>92241</v>
      </c>
      <c r="B89" s="22">
        <f>('BFI Scores'!G89-'BFI Scores'!B89)^2</f>
        <v>8.5556249999999986E-2</v>
      </c>
      <c r="C89" s="22">
        <f>('BFI Scores'!H89-'BFI Scores'!C89)^2</f>
        <v>0.35866790123456888</v>
      </c>
      <c r="D89" s="22">
        <f>('BFI Scores'!I89-'BFI Scores'!D89)^2</f>
        <v>0.73959999999999904</v>
      </c>
      <c r="E89" s="22">
        <f>('BFI Scores'!J89-'BFI Scores'!E89)^2</f>
        <v>0.33640000000000009</v>
      </c>
      <c r="F89" s="22">
        <f>('BFI Scores'!K89-'BFI Scores'!F89)^2</f>
        <v>1.2099999999999993</v>
      </c>
      <c r="G89" s="22">
        <f>('BFI Scores'!L89-'BFI Scores'!B89)^2</f>
        <v>8.9999999999998827E-4</v>
      </c>
      <c r="H89" s="22">
        <f>('BFI Scores'!M89-'BFI Scores'!C89)^2</f>
        <v>1.8777777777774795E-3</v>
      </c>
      <c r="I89" s="22">
        <f>('BFI Scores'!N89-'BFI Scores'!D89)^2</f>
        <v>5.6749827160493709</v>
      </c>
      <c r="J89" s="22">
        <f>('BFI Scores'!O89-'BFI Scores'!E89)^2</f>
        <v>1.4220562499999998</v>
      </c>
      <c r="K89" s="22">
        <f>('BFI Scores'!P89-'BFI Scores'!F89)^2</f>
        <v>0.24009999999999934</v>
      </c>
      <c r="L89" s="22">
        <f>('BFI Scores'!Q89-'BFI Scores'!B89)^2</f>
        <v>4.2024999999999937E-2</v>
      </c>
      <c r="M89" s="22">
        <f>('BFI Scores'!R89-'BFI Scores'!C89)^2</f>
        <v>0.33254444444443676</v>
      </c>
      <c r="N89" s="22">
        <f>('BFI Scores'!S89-'BFI Scores'!D89)^2</f>
        <v>1.9413777777777672</v>
      </c>
      <c r="O89" s="22">
        <f>('BFI Scores'!T89-'BFI Scores'!E89)^2</f>
        <v>0.62805624999999932</v>
      </c>
      <c r="P89" s="22">
        <f>('BFI Scores'!U89-'BFI Scores'!F89)^2</f>
        <v>0.96039999999999914</v>
      </c>
      <c r="Q89" s="22">
        <f>('BFI Scores'!V89-'BFI Scores'!B89)^2</f>
        <v>3.0625000000000248E-4</v>
      </c>
      <c r="R89" s="22">
        <f>('BFI Scores'!W89-'BFI Scores'!C89)^2</f>
        <v>9.7790123456791712E-3</v>
      </c>
      <c r="S89" s="22">
        <f>('BFI Scores'!X89-'BFI Scores'!D89)^2</f>
        <v>5.7813530864197773</v>
      </c>
      <c r="T89" s="22">
        <f>('BFI Scores'!Y89-'BFI Scores'!E89)^2</f>
        <v>3.2130562499999997</v>
      </c>
      <c r="U89" s="22">
        <f>('BFI Scores'!Z89-'BFI Scores'!F89)^2</f>
        <v>0.15209999999999976</v>
      </c>
      <c r="V89" s="29">
        <f>('BFI Scores'!AA89-'BFI Scores'!B89)^2</f>
        <v>2.8056249999999994E-2</v>
      </c>
      <c r="W89" s="29">
        <f>('BFI Scores'!AB89-'BFI Scores'!C89)^2</f>
        <v>0.17733456790123353</v>
      </c>
      <c r="X89" s="29">
        <f>('BFI Scores'!AC89-'BFI Scores'!D89)^2</f>
        <v>1.1953777777777699</v>
      </c>
      <c r="Y89" s="29">
        <f>('BFI Scores'!AD89-'BFI Scores'!E89)^2</f>
        <v>0.42902500000000032</v>
      </c>
      <c r="Z89" s="29">
        <f>('BFI Scores'!AE89-'BFI Scores'!F89)^2</f>
        <v>0.13689999999999941</v>
      </c>
      <c r="AA89" s="29">
        <f>('BFI Scores'!AF89-'BFI Scores'!B89)^2</f>
        <v>0.71402500000000035</v>
      </c>
      <c r="AB89" s="29">
        <f>('BFI Scores'!AG89-'BFI Scores'!C89)^2</f>
        <v>6.4741975308639621E-2</v>
      </c>
      <c r="AC89" s="29">
        <f>('BFI Scores'!AH89-'BFI Scores'!D89)^2</f>
        <v>5.9970567901234615</v>
      </c>
      <c r="AD89" s="29">
        <f>('BFI Scores'!AI89-'BFI Scores'!E89)^2</f>
        <v>0.98505624999999941</v>
      </c>
      <c r="AE89" s="29">
        <f>('BFI Scores'!AJ89-'BFI Scores'!F89)^2</f>
        <v>0.21159999999999995</v>
      </c>
      <c r="AF89" s="23">
        <f t="shared" si="12"/>
        <v>0.54604483024691342</v>
      </c>
      <c r="AG89" s="23">
        <f t="shared" si="13"/>
        <v>1.4679833487654295</v>
      </c>
      <c r="AH89" s="23">
        <f t="shared" si="14"/>
        <v>0.78088069444444042</v>
      </c>
      <c r="AI89" s="23">
        <f t="shared" si="15"/>
        <v>1.831318919753091</v>
      </c>
      <c r="AJ89" s="30">
        <f t="shared" si="16"/>
        <v>0.39333871913580065</v>
      </c>
      <c r="AK89" s="30">
        <f t="shared" si="17"/>
        <v>1.5944960030864201</v>
      </c>
    </row>
    <row r="90" spans="1:37" x14ac:dyDescent="0.2">
      <c r="A90" s="21">
        <v>94161</v>
      </c>
      <c r="B90" s="22">
        <f>('BFI Scores'!G90-'BFI Scores'!B90)^2</f>
        <v>0.2450250000000001</v>
      </c>
      <c r="C90" s="22">
        <f>('BFI Scores'!H90-'BFI Scores'!C90)^2</f>
        <v>1.4271604938273382E-3</v>
      </c>
      <c r="D90" s="22">
        <f>('BFI Scores'!I90-'BFI Scores'!D90)^2</f>
        <v>0.60666790123457004</v>
      </c>
      <c r="E90" s="22">
        <f>('BFI Scores'!J90-'BFI Scores'!E90)^2</f>
        <v>1.2768999999999997</v>
      </c>
      <c r="F90" s="22">
        <f>('BFI Scores'!K90-'BFI Scores'!F90)^2</f>
        <v>0.39689999999999986</v>
      </c>
      <c r="G90" s="22">
        <f>('BFI Scores'!L90-'BFI Scores'!B90)^2</f>
        <v>0.23280624999999994</v>
      </c>
      <c r="H90" s="22">
        <f>('BFI Scores'!M90-'BFI Scores'!C90)^2</f>
        <v>7.9649382716048212E-2</v>
      </c>
      <c r="I90" s="22">
        <f>('BFI Scores'!N90-'BFI Scores'!D90)^2</f>
        <v>0.41674197530864787</v>
      </c>
      <c r="J90" s="22">
        <f>('BFI Scores'!O90-'BFI Scores'!E90)^2</f>
        <v>1.2768999999999997</v>
      </c>
      <c r="K90" s="22">
        <f>('BFI Scores'!P90-'BFI Scores'!F90)^2</f>
        <v>0.79209999999999947</v>
      </c>
      <c r="L90" s="22">
        <f>('BFI Scores'!Q90-'BFI Scores'!B90)^2</f>
        <v>1.5813062500000008</v>
      </c>
      <c r="M90" s="22">
        <f>('BFI Scores'!R90-'BFI Scores'!C90)^2</f>
        <v>0.19164938271605136</v>
      </c>
      <c r="N90" s="22">
        <f>('BFI Scores'!S90-'BFI Scores'!D90)^2</f>
        <v>0.64177901234567758</v>
      </c>
      <c r="O90" s="22">
        <f>('BFI Scores'!T90-'BFI Scores'!E90)^2</f>
        <v>0.10890000000000005</v>
      </c>
      <c r="P90" s="22">
        <f>('BFI Scores'!U90-'BFI Scores'!F90)^2</f>
        <v>1.1448999999999996</v>
      </c>
      <c r="Q90" s="22">
        <f>('BFI Scores'!V90-'BFI Scores'!B90)^2</f>
        <v>1.8769000000000002</v>
      </c>
      <c r="R90" s="22">
        <f>('BFI Scores'!W90-'BFI Scores'!C90)^2</f>
        <v>0.92159999999999997</v>
      </c>
      <c r="S90" s="22">
        <f>('BFI Scores'!X90-'BFI Scores'!D90)^2</f>
        <v>0.60666790123457004</v>
      </c>
      <c r="T90" s="22">
        <f>('BFI Scores'!Y90-'BFI Scores'!E90)^2</f>
        <v>1.3053062499999997</v>
      </c>
      <c r="U90" s="22">
        <f>('BFI Scores'!Z90-'BFI Scores'!F90)^2</f>
        <v>2.3408999999999995</v>
      </c>
      <c r="V90" s="29">
        <f>('BFI Scores'!AA90-'BFI Scores'!B90)^2</f>
        <v>0.99002500000000027</v>
      </c>
      <c r="W90" s="29">
        <f>('BFI Scores'!AB90-'BFI Scores'!C90)^2</f>
        <v>0.10098271604938408</v>
      </c>
      <c r="X90" s="29">
        <f>('BFI Scores'!AC90-'BFI Scores'!D90)^2</f>
        <v>0.55585308641975995</v>
      </c>
      <c r="Y90" s="29">
        <f>('BFI Scores'!AD90-'BFI Scores'!E90)^2</f>
        <v>1.1935562499999997</v>
      </c>
      <c r="Z90" s="29">
        <f>('BFI Scores'!AE90-'BFI Scores'!F90)^2</f>
        <v>0.70559999999999978</v>
      </c>
      <c r="AA90" s="29">
        <f>('BFI Scores'!AF90-'BFI Scores'!B90)^2</f>
        <v>1.6129</v>
      </c>
      <c r="AB90" s="29">
        <f>('BFI Scores'!AG90-'BFI Scores'!C90)^2</f>
        <v>1.9753086419715841E-5</v>
      </c>
      <c r="AC90" s="29">
        <f>('BFI Scores'!AH90-'BFI Scores'!D90)^2</f>
        <v>0.58948271604938629</v>
      </c>
      <c r="AD90" s="29">
        <f>('BFI Scores'!AI90-'BFI Scores'!E90)^2</f>
        <v>1.3340249999999996</v>
      </c>
      <c r="AE90" s="29">
        <f>('BFI Scores'!AJ90-'BFI Scores'!F90)^2</f>
        <v>0.6241000000000001</v>
      </c>
      <c r="AF90" s="23">
        <f t="shared" si="12"/>
        <v>0.50538401234567942</v>
      </c>
      <c r="AG90" s="23">
        <f t="shared" si="13"/>
        <v>0.55963952160493913</v>
      </c>
      <c r="AH90" s="23">
        <f t="shared" si="14"/>
        <v>0.73370692901234591</v>
      </c>
      <c r="AI90" s="23">
        <f t="shared" si="15"/>
        <v>1.4102748302469137</v>
      </c>
      <c r="AJ90" s="30">
        <f t="shared" si="16"/>
        <v>0.70920341049382873</v>
      </c>
      <c r="AK90" s="30">
        <f t="shared" si="17"/>
        <v>0.83210549382716115</v>
      </c>
    </row>
    <row r="91" spans="1:37" x14ac:dyDescent="0.2">
      <c r="A91" s="21">
        <v>94659</v>
      </c>
      <c r="B91" s="22">
        <f>('BFI Scores'!G91-'BFI Scores'!B91)^2</f>
        <v>0.42249999999999988</v>
      </c>
      <c r="C91" s="22">
        <f>('BFI Scores'!H91-'BFI Scores'!C91)^2</f>
        <v>0.21159999999999995</v>
      </c>
      <c r="D91" s="22">
        <f>('BFI Scores'!I91-'BFI Scores'!D91)^2</f>
        <v>1.4992641975308774</v>
      </c>
      <c r="E91" s="22">
        <f>('BFI Scores'!J91-'BFI Scores'!E91)^2</f>
        <v>0.23765624999999982</v>
      </c>
      <c r="F91" s="22">
        <f>('BFI Scores'!K91-'BFI Scores'!F91)^2</f>
        <v>2.8899999999999974E-2</v>
      </c>
      <c r="G91" s="22">
        <f>('BFI Scores'!L91-'BFI Scores'!B91)^2</f>
        <v>1.3224999999999998</v>
      </c>
      <c r="H91" s="22">
        <f>('BFI Scores'!M91-'BFI Scores'!C91)^2</f>
        <v>0.35204444444444016</v>
      </c>
      <c r="I91" s="22">
        <f>('BFI Scores'!N91-'BFI Scores'!D91)^2</f>
        <v>1.9975111111111292</v>
      </c>
      <c r="J91" s="22">
        <f>('BFI Scores'!O91-'BFI Scores'!E91)^2</f>
        <v>1.890625</v>
      </c>
      <c r="K91" s="22">
        <f>('BFI Scores'!P91-'BFI Scores'!F91)^2</f>
        <v>1.6000000000000029E-3</v>
      </c>
      <c r="L91" s="22">
        <f>('BFI Scores'!Q91-'BFI Scores'!B91)^2</f>
        <v>2.7224999999999997</v>
      </c>
      <c r="M91" s="22">
        <f>('BFI Scores'!R91-'BFI Scores'!C91)^2</f>
        <v>1.8982716049383265E-2</v>
      </c>
      <c r="N91" s="22">
        <f>('BFI Scores'!S91-'BFI Scores'!D91)^2</f>
        <v>2.7482271604938338</v>
      </c>
      <c r="O91" s="22">
        <f>('BFI Scores'!T91-'BFI Scores'!E91)^2</f>
        <v>0.18062499999999984</v>
      </c>
      <c r="P91" s="22">
        <f>('BFI Scores'!U91-'BFI Scores'!F91)^2</f>
        <v>9.610000000000031E-2</v>
      </c>
      <c r="Q91" s="22">
        <f>('BFI Scores'!V91-'BFI Scores'!B91)^2</f>
        <v>5.7001562500000009</v>
      </c>
      <c r="R91" s="22">
        <f>('BFI Scores'!W91-'BFI Scores'!C91)^2</f>
        <v>0.943056790123454</v>
      </c>
      <c r="S91" s="22">
        <f>('BFI Scores'!X91-'BFI Scores'!D91)^2</f>
        <v>2.4266716049382775</v>
      </c>
      <c r="T91" s="22">
        <f>('BFI Scores'!Y91-'BFI Scores'!E91)^2</f>
        <v>0.47265625</v>
      </c>
      <c r="U91" s="22">
        <f>('BFI Scores'!Z91-'BFI Scores'!F91)^2</f>
        <v>0.19359999999999997</v>
      </c>
      <c r="V91" s="29">
        <f>('BFI Scores'!AA91-'BFI Scores'!B91)^2</f>
        <v>0.47265625</v>
      </c>
      <c r="W91" s="29">
        <f>('BFI Scores'!AB91-'BFI Scores'!C91)^2</f>
        <v>4.1797530864195707E-2</v>
      </c>
      <c r="X91" s="29">
        <f>('BFI Scores'!AC91-'BFI Scores'!D91)^2</f>
        <v>2.567116049382709</v>
      </c>
      <c r="Y91" s="29">
        <f>('BFI Scores'!AD91-'BFI Scores'!E91)^2</f>
        <v>0.15015625000000013</v>
      </c>
      <c r="Z91" s="29">
        <f>('BFI Scores'!AE91-'BFI Scores'!F91)^2</f>
        <v>2.8899999999999974E-2</v>
      </c>
      <c r="AA91" s="29">
        <f>('BFI Scores'!AF91-'BFI Scores'!B91)^2</f>
        <v>3.8025000000000007</v>
      </c>
      <c r="AB91" s="29">
        <f>('BFI Scores'!AG91-'BFI Scores'!C91)^2</f>
        <v>0.81801975308641117</v>
      </c>
      <c r="AC91" s="29">
        <f>('BFI Scores'!AH91-'BFI Scores'!D91)^2</f>
        <v>2.4963999999999986</v>
      </c>
      <c r="AD91" s="29">
        <f>('BFI Scores'!AI91-'BFI Scores'!E91)^2</f>
        <v>0.50765624999999992</v>
      </c>
      <c r="AE91" s="29">
        <f>('BFI Scores'!AJ91-'BFI Scores'!F91)^2</f>
        <v>1.439999999999992E-2</v>
      </c>
      <c r="AF91" s="23">
        <f t="shared" si="12"/>
        <v>0.47998408950617544</v>
      </c>
      <c r="AG91" s="23">
        <f t="shared" si="13"/>
        <v>1.1128561111111137</v>
      </c>
      <c r="AH91" s="23">
        <f t="shared" si="14"/>
        <v>1.1532869753086434</v>
      </c>
      <c r="AI91" s="23">
        <f t="shared" si="15"/>
        <v>1.9472281790123465</v>
      </c>
      <c r="AJ91" s="30">
        <f t="shared" si="16"/>
        <v>0.65212521604938101</v>
      </c>
      <c r="AK91" s="30">
        <f t="shared" si="17"/>
        <v>1.5277952006172821</v>
      </c>
    </row>
    <row r="92" spans="1:37" x14ac:dyDescent="0.2">
      <c r="A92" s="21">
        <v>95066</v>
      </c>
      <c r="B92" s="22">
        <f>('BFI Scores'!G92-'BFI Scores'!B92)^2</f>
        <v>0.35105624999999979</v>
      </c>
      <c r="C92" s="22">
        <f>('BFI Scores'!H92-'BFI Scores'!C92)^2</f>
        <v>1.7073777777777859</v>
      </c>
      <c r="D92" s="22">
        <f>('BFI Scores'!I92-'BFI Scores'!D92)^2</f>
        <v>0.26237160493826944</v>
      </c>
      <c r="E92" s="22">
        <f>('BFI Scores'!J92-'BFI Scores'!E92)^2</f>
        <v>0.55130624999999955</v>
      </c>
      <c r="F92" s="22">
        <f>('BFI Scores'!K92-'BFI Scores'!F92)^2</f>
        <v>0.50409999999999999</v>
      </c>
      <c r="G92" s="22">
        <f>('BFI Scores'!L92-'BFI Scores'!B92)^2</f>
        <v>7.2900000000000006E-2</v>
      </c>
      <c r="H92" s="22">
        <f>('BFI Scores'!M92-'BFI Scores'!C92)^2</f>
        <v>0.70560000000000056</v>
      </c>
      <c r="I92" s="22">
        <f>('BFI Scores'!N92-'BFI Scores'!D92)^2</f>
        <v>3.2040999999999999</v>
      </c>
      <c r="J92" s="22">
        <f>('BFI Scores'!O92-'BFI Scores'!E92)^2</f>
        <v>1.0100249999999997</v>
      </c>
      <c r="K92" s="22">
        <f>('BFI Scores'!P92-'BFI Scores'!F92)^2</f>
        <v>0.27039999999999953</v>
      </c>
      <c r="L92" s="22">
        <f>('BFI Scores'!Q92-'BFI Scores'!B92)^2</f>
        <v>1.7358062499999998</v>
      </c>
      <c r="M92" s="22">
        <f>('BFI Scores'!R92-'BFI Scores'!C92)^2</f>
        <v>1.5652790123456761</v>
      </c>
      <c r="N92" s="22">
        <f>('BFI Scores'!S92-'BFI Scores'!D92)^2</f>
        <v>0.10454444444444239</v>
      </c>
      <c r="O92" s="22">
        <f>('BFI Scores'!T92-'BFI Scores'!E92)^2</f>
        <v>1.3630562499999999</v>
      </c>
      <c r="P92" s="22">
        <f>('BFI Scores'!U92-'BFI Scores'!F92)^2</f>
        <v>0.33640000000000009</v>
      </c>
      <c r="Q92" s="22">
        <f>('BFI Scores'!V92-'BFI Scores'!B92)^2</f>
        <v>3.0249999999999687E-3</v>
      </c>
      <c r="R92" s="22">
        <f>('BFI Scores'!W92-'BFI Scores'!C92)^2</f>
        <v>0.12327901234567826</v>
      </c>
      <c r="S92" s="22">
        <f>('BFI Scores'!X92-'BFI Scores'!D92)^2</f>
        <v>3.5302234567901274</v>
      </c>
      <c r="T92" s="22">
        <f>('BFI Scores'!Y92-'BFI Scores'!E92)^2</f>
        <v>0.2450250000000001</v>
      </c>
      <c r="U92" s="22">
        <f>('BFI Scores'!Z92-'BFI Scores'!F92)^2</f>
        <v>0.3599999999999996</v>
      </c>
      <c r="V92" s="29">
        <f>('BFI Scores'!AA92-'BFI Scores'!B92)^2</f>
        <v>0.24255624999999972</v>
      </c>
      <c r="W92" s="29">
        <f>('BFI Scores'!AB92-'BFI Scores'!C92)^2</f>
        <v>1.947575308641988</v>
      </c>
      <c r="X92" s="29">
        <f>('BFI Scores'!AC92-'BFI Scores'!D92)^2</f>
        <v>0.26237160493826944</v>
      </c>
      <c r="Y92" s="29">
        <f>('BFI Scores'!AD92-'BFI Scores'!E92)^2</f>
        <v>0.88830624999999985</v>
      </c>
      <c r="Z92" s="29">
        <f>('BFI Scores'!AE92-'BFI Scores'!F92)^2</f>
        <v>0.43560000000000021</v>
      </c>
      <c r="AA92" s="29">
        <f>('BFI Scores'!AF92-'BFI Scores'!B92)^2</f>
        <v>0.75690000000000024</v>
      </c>
      <c r="AB92" s="29">
        <f>('BFI Scores'!AG92-'BFI Scores'!C92)^2</f>
        <v>0.49937777777776882</v>
      </c>
      <c r="AC92" s="29">
        <f>('BFI Scores'!AH92-'BFI Scores'!D92)^2</f>
        <v>3.5721000000000003</v>
      </c>
      <c r="AD92" s="29">
        <f>('BFI Scores'!AI92-'BFI Scores'!E92)^2</f>
        <v>0.96039999999999992</v>
      </c>
      <c r="AE92" s="29">
        <f>('BFI Scores'!AJ92-'BFI Scores'!F92)^2</f>
        <v>0.21159999999999995</v>
      </c>
      <c r="AF92" s="23">
        <f t="shared" si="12"/>
        <v>0.67524237654321095</v>
      </c>
      <c r="AG92" s="23">
        <f t="shared" si="13"/>
        <v>1.052605</v>
      </c>
      <c r="AH92" s="23">
        <f t="shared" si="14"/>
        <v>1.0210171913580237</v>
      </c>
      <c r="AI92" s="23">
        <f t="shared" si="15"/>
        <v>0.85231049382716095</v>
      </c>
      <c r="AJ92" s="30">
        <f t="shared" si="16"/>
        <v>0.75528188271605146</v>
      </c>
      <c r="AK92" s="30">
        <f t="shared" si="17"/>
        <v>1.2000755555555538</v>
      </c>
    </row>
    <row r="93" spans="1:37" x14ac:dyDescent="0.2">
      <c r="A93" s="21">
        <v>95835</v>
      </c>
      <c r="B93" s="22">
        <f>('BFI Scores'!G93-'BFI Scores'!B93)^2</f>
        <v>0.22562500000000008</v>
      </c>
      <c r="C93" s="22">
        <f>('BFI Scores'!H93-'BFI Scores'!C93)^2</f>
        <v>6.7023456790123948E-2</v>
      </c>
      <c r="D93" s="22">
        <f>('BFI Scores'!I93-'BFI Scores'!D93)^2</f>
        <v>4.2895012345678953</v>
      </c>
      <c r="E93" s="22">
        <f>('BFI Scores'!J93-'BFI Scores'!E93)^2</f>
        <v>6.25E-2</v>
      </c>
      <c r="F93" s="22">
        <f>('BFI Scores'!K93-'BFI Scores'!F93)^2</f>
        <v>9.0000000000001494E-4</v>
      </c>
      <c r="G93" s="22">
        <f>('BFI Scores'!L93-'BFI Scores'!B93)^2</f>
        <v>1.4400000000000004</v>
      </c>
      <c r="H93" s="22">
        <f>('BFI Scores'!M93-'BFI Scores'!C93)^2</f>
        <v>0.41102345679012214</v>
      </c>
      <c r="I93" s="22">
        <f>('BFI Scores'!N93-'BFI Scores'!D93)^2</f>
        <v>7.3140197530863933</v>
      </c>
      <c r="J93" s="22">
        <f>('BFI Scores'!O93-'BFI Scores'!E93)^2</f>
        <v>0.33062499999999995</v>
      </c>
      <c r="K93" s="22">
        <f>('BFI Scores'!P93-'BFI Scores'!F93)^2</f>
        <v>1.2996000000000003</v>
      </c>
      <c r="L93" s="22">
        <f>('BFI Scores'!Q93-'BFI Scores'!B93)^2</f>
        <v>3.1064062500000005</v>
      </c>
      <c r="M93" s="22">
        <f>('BFI Scores'!R93-'BFI Scores'!C93)^2</f>
        <v>3.6949382716048473E-2</v>
      </c>
      <c r="N93" s="22">
        <f>('BFI Scores'!S93-'BFI Scores'!D93)^2</f>
        <v>2.6823160493827225</v>
      </c>
      <c r="O93" s="22">
        <f>('BFI Scores'!T93-'BFI Scores'!E93)^2</f>
        <v>0.140625</v>
      </c>
      <c r="P93" s="22">
        <f>('BFI Scores'!U93-'BFI Scores'!F93)^2</f>
        <v>0.10890000000000005</v>
      </c>
      <c r="Q93" s="22">
        <f>('BFI Scores'!V93-'BFI Scores'!B93)^2</f>
        <v>4.3056250000000009</v>
      </c>
      <c r="R93" s="22">
        <f>('BFI Scores'!W93-'BFI Scores'!C93)^2</f>
        <v>4.8999999999999773E-3</v>
      </c>
      <c r="S93" s="22">
        <f>('BFI Scores'!X93-'BFI Scores'!D93)^2</f>
        <v>2.5034271604938185</v>
      </c>
      <c r="T93" s="22">
        <f>('BFI Scores'!Y93-'BFI Scores'!E93)^2</f>
        <v>5.0625000000000038E-2</v>
      </c>
      <c r="U93" s="22">
        <f>('BFI Scores'!Z93-'BFI Scores'!F93)^2</f>
        <v>6.3999999999999405E-3</v>
      </c>
      <c r="V93" s="29">
        <f>('BFI Scores'!AA93-'BFI Scores'!B93)^2</f>
        <v>0.63999999999999968</v>
      </c>
      <c r="W93" s="29">
        <f>('BFI Scores'!AB93-'BFI Scores'!C93)^2</f>
        <v>0.19067777777778078</v>
      </c>
      <c r="X93" s="29">
        <f>('BFI Scores'!AC93-'BFI Scores'!D93)^2</f>
        <v>4.4286864197531086</v>
      </c>
      <c r="Y93" s="29">
        <f>('BFI Scores'!AD93-'BFI Scores'!E93)^2</f>
        <v>0.10562499999999997</v>
      </c>
      <c r="Z93" s="29">
        <f>('BFI Scores'!AE93-'BFI Scores'!F93)^2</f>
        <v>3.5999999999999531E-3</v>
      </c>
      <c r="AA93" s="29">
        <f>('BFI Scores'!AF93-'BFI Scores'!B93)^2</f>
        <v>2.1389062499999998</v>
      </c>
      <c r="AB93" s="29">
        <f>('BFI Scores'!AG93-'BFI Scores'!C93)^2</f>
        <v>2.3171604938271008E-2</v>
      </c>
      <c r="AC93" s="29">
        <f>('BFI Scores'!AH93-'BFI Scores'!D93)^2</f>
        <v>6.4403160493827256</v>
      </c>
      <c r="AD93" s="29">
        <f>('BFI Scores'!AI93-'BFI Scores'!E93)^2</f>
        <v>3.515625E-2</v>
      </c>
      <c r="AE93" s="29">
        <f>('BFI Scores'!AJ93-'BFI Scores'!F93)^2</f>
        <v>0.50409999999999999</v>
      </c>
      <c r="AF93" s="23">
        <f t="shared" si="12"/>
        <v>0.92910993827160371</v>
      </c>
      <c r="AG93" s="23">
        <f t="shared" si="13"/>
        <v>2.1590536419753028</v>
      </c>
      <c r="AH93" s="23">
        <f t="shared" si="14"/>
        <v>1.2150393364197545</v>
      </c>
      <c r="AI93" s="23">
        <f t="shared" si="15"/>
        <v>1.3741954320987639</v>
      </c>
      <c r="AJ93" s="30">
        <f t="shared" si="16"/>
        <v>1.0737178395061777</v>
      </c>
      <c r="AK93" s="30">
        <f t="shared" si="17"/>
        <v>1.828330030864199</v>
      </c>
    </row>
    <row r="94" spans="1:37" x14ac:dyDescent="0.2">
      <c r="A94" s="21">
        <v>98498</v>
      </c>
      <c r="B94" s="22">
        <f>('BFI Scores'!G94-'BFI Scores'!B94)^2</f>
        <v>3.0189062499999992</v>
      </c>
      <c r="C94" s="22">
        <f>('BFI Scores'!H94-'BFI Scores'!C94)^2</f>
        <v>2.3956160493827228</v>
      </c>
      <c r="D94" s="22">
        <f>('BFI Scores'!I94-'BFI Scores'!D94)^2</f>
        <v>0.61535308641974618</v>
      </c>
      <c r="E94" s="22">
        <f>('BFI Scores'!J94-'BFI Scores'!E94)^2</f>
        <v>1.0251562500000004</v>
      </c>
      <c r="F94" s="22">
        <f>('BFI Scores'!K94-'BFI Scores'!F94)^2</f>
        <v>0.64000000000000046</v>
      </c>
      <c r="G94" s="22">
        <f>('BFI Scores'!L94-'BFI Scores'!B94)^2</f>
        <v>6.25</v>
      </c>
      <c r="H94" s="22">
        <f>('BFI Scores'!M94-'BFI Scores'!C94)^2</f>
        <v>0.4946777777777725</v>
      </c>
      <c r="I94" s="22">
        <f>('BFI Scores'!N94-'BFI Scores'!D94)^2</f>
        <v>0.31360000000000005</v>
      </c>
      <c r="J94" s="22">
        <f>('BFI Scores'!O94-'BFI Scores'!E94)^2</f>
        <v>1.5314062499999996</v>
      </c>
      <c r="K94" s="22">
        <f>('BFI Scores'!P94-'BFI Scores'!F94)^2</f>
        <v>0.27040000000000003</v>
      </c>
      <c r="L94" s="22">
        <f>('BFI Scores'!Q94-'BFI Scores'!B94)^2</f>
        <v>2.9756250000000004</v>
      </c>
      <c r="M94" s="22">
        <f>('BFI Scores'!R94-'BFI Scores'!C94)^2</f>
        <v>0.43413456790123572</v>
      </c>
      <c r="N94" s="22">
        <f>('BFI Scores'!S94-'BFI Scores'!D94)^2</f>
        <v>6.1945679012346253E-2</v>
      </c>
      <c r="O94" s="22">
        <f>('BFI Scores'!T94-'BFI Scores'!E94)^2</f>
        <v>1.2656249999999959E-2</v>
      </c>
      <c r="P94" s="22">
        <f>('BFI Scores'!U94-'BFI Scores'!F94)^2</f>
        <v>5.2899999999999989E-2</v>
      </c>
      <c r="Q94" s="22">
        <f>('BFI Scores'!V94-'BFI Scores'!B94)^2</f>
        <v>3.3764062499999996</v>
      </c>
      <c r="R94" s="22">
        <f>('BFI Scores'!W94-'BFI Scores'!C94)^2</f>
        <v>3.5679012345683455E-4</v>
      </c>
      <c r="S94" s="22">
        <f>('BFI Scores'!X94-'BFI Scores'!D94)^2</f>
        <v>0.20150123456790242</v>
      </c>
      <c r="T94" s="22">
        <f>('BFI Scores'!Y94-'BFI Scores'!E94)^2</f>
        <v>0.7014062499999999</v>
      </c>
      <c r="U94" s="22">
        <f>('BFI Scores'!Z94-'BFI Scores'!F94)^2</f>
        <v>0.10240000000000019</v>
      </c>
      <c r="V94" s="29">
        <f>('BFI Scores'!AA94-'BFI Scores'!B94)^2</f>
        <v>3.75390625</v>
      </c>
      <c r="W94" s="29">
        <f>('BFI Scores'!AB94-'BFI Scores'!C94)^2</f>
        <v>2.4301345679012383</v>
      </c>
      <c r="X94" s="29">
        <f>('BFI Scores'!AC94-'BFI Scores'!D94)^2</f>
        <v>7.4711111111109216E-2</v>
      </c>
      <c r="Y94" s="29">
        <f>('BFI Scores'!AD94-'BFI Scores'!E94)^2</f>
        <v>1.0251562500000004</v>
      </c>
      <c r="Z94" s="29">
        <f>('BFI Scores'!AE94-'BFI Scores'!F94)^2</f>
        <v>0.30250000000000027</v>
      </c>
      <c r="AA94" s="29">
        <f>('BFI Scores'!AF94-'BFI Scores'!B94)^2</f>
        <v>7.3576562500000016</v>
      </c>
      <c r="AB94" s="29">
        <f>('BFI Scores'!AG94-'BFI Scores'!C94)^2</f>
        <v>0.8773444444444326</v>
      </c>
      <c r="AC94" s="29">
        <f>('BFI Scores'!AH94-'BFI Scores'!D94)^2</f>
        <v>0.31360000000000005</v>
      </c>
      <c r="AD94" s="29">
        <f>('BFI Scores'!AI94-'BFI Scores'!E94)^2</f>
        <v>0.765625</v>
      </c>
      <c r="AE94" s="29">
        <f>('BFI Scores'!AJ94-'BFI Scores'!F94)^2</f>
        <v>0.10240000000000019</v>
      </c>
      <c r="AF94" s="23">
        <f t="shared" si="12"/>
        <v>1.5390063271604937</v>
      </c>
      <c r="AG94" s="23">
        <f t="shared" si="13"/>
        <v>1.7720168055555543</v>
      </c>
      <c r="AH94" s="23">
        <f t="shared" si="14"/>
        <v>0.70745229938271648</v>
      </c>
      <c r="AI94" s="23">
        <f t="shared" si="15"/>
        <v>0.87641410493827188</v>
      </c>
      <c r="AJ94" s="30">
        <f t="shared" si="16"/>
        <v>1.5172816358024694</v>
      </c>
      <c r="AK94" s="30">
        <f t="shared" si="17"/>
        <v>1.8833251388888865</v>
      </c>
    </row>
    <row r="95" spans="1:37" x14ac:dyDescent="0.2">
      <c r="A95" s="21">
        <v>98860</v>
      </c>
      <c r="B95" s="22">
        <f>('BFI Scores'!G95-'BFI Scores'!B95)^2</f>
        <v>0.390625</v>
      </c>
      <c r="C95" s="22">
        <f>('BFI Scores'!H95-'BFI Scores'!C95)^2</f>
        <v>0.87111111111110495</v>
      </c>
      <c r="D95" s="22">
        <f>('BFI Scores'!I95-'BFI Scores'!D95)^2</f>
        <v>0.88987777777777199</v>
      </c>
      <c r="E95" s="22">
        <f>('BFI Scores'!J95-'BFI Scores'!E95)^2</f>
        <v>0.44555624999999999</v>
      </c>
      <c r="F95" s="22">
        <f>('BFI Scores'!K95-'BFI Scores'!F95)^2</f>
        <v>3.2400000000000061E-2</v>
      </c>
      <c r="G95" s="22">
        <f>('BFI Scores'!L95-'BFI Scores'!B95)^2</f>
        <v>0.50765624999999992</v>
      </c>
      <c r="H95" s="22">
        <f>('BFI Scores'!M95-'BFI Scores'!C95)^2</f>
        <v>0.3599999999999996</v>
      </c>
      <c r="I95" s="22">
        <f>('BFI Scores'!N95-'BFI Scores'!D95)^2</f>
        <v>1.0382716049381383E-3</v>
      </c>
      <c r="J95" s="22">
        <f>('BFI Scores'!O95-'BFI Scores'!E95)^2</f>
        <v>0.16605625000000016</v>
      </c>
      <c r="K95" s="22">
        <f>('BFI Scores'!P95-'BFI Scores'!F95)^2</f>
        <v>0.10890000000000005</v>
      </c>
      <c r="L95" s="22">
        <f>('BFI Scores'!Q95-'BFI Scores'!B95)^2</f>
        <v>0.3751562499999998</v>
      </c>
      <c r="M95" s="22">
        <f>('BFI Scores'!R95-'BFI Scores'!C95)^2</f>
        <v>9.6790123456789431E-2</v>
      </c>
      <c r="N95" s="22">
        <f>('BFI Scores'!S95-'BFI Scores'!D95)^2</f>
        <v>1.7453345679012322</v>
      </c>
      <c r="O95" s="22">
        <f>('BFI Scores'!T95-'BFI Scores'!E95)^2</f>
        <v>0.25502499999999989</v>
      </c>
      <c r="P95" s="22">
        <f>('BFI Scores'!U95-'BFI Scores'!F95)^2</f>
        <v>1.6899999999999971E-2</v>
      </c>
      <c r="Q95" s="22">
        <f>('BFI Scores'!V95-'BFI Scores'!B95)^2</f>
        <v>7.6562499999999842E-3</v>
      </c>
      <c r="R95" s="22">
        <f>('BFI Scores'!W95-'BFI Scores'!C95)^2</f>
        <v>9.9999999999999291E-3</v>
      </c>
      <c r="S95" s="22">
        <f>('BFI Scores'!X95-'BFI Scores'!D95)^2</f>
        <v>0.95387777777778449</v>
      </c>
      <c r="T95" s="22">
        <f>('BFI Scores'!Y95-'BFI Scores'!E95)^2</f>
        <v>3.3580562500000015</v>
      </c>
      <c r="U95" s="22">
        <f>('BFI Scores'!Z95-'BFI Scores'!F95)^2</f>
        <v>0.57759999999999967</v>
      </c>
      <c r="V95" s="29">
        <f>('BFI Scores'!AA95-'BFI Scores'!B95)^2</f>
        <v>0.9025000000000003</v>
      </c>
      <c r="W95" s="29">
        <f>('BFI Scores'!AB95-'BFI Scores'!C95)^2</f>
        <v>0.67604938271604609</v>
      </c>
      <c r="X95" s="29">
        <f>('BFI Scores'!AC95-'BFI Scores'!D95)^2</f>
        <v>2.5921000000000012</v>
      </c>
      <c r="Y95" s="29">
        <f>('BFI Scores'!AD95-'BFI Scores'!E95)^2</f>
        <v>0.44555624999999999</v>
      </c>
      <c r="Z95" s="29">
        <f>('BFI Scores'!AE95-'BFI Scores'!F95)^2</f>
        <v>2.5600000000000046E-2</v>
      </c>
      <c r="AA95" s="29">
        <f>('BFI Scores'!AF95-'BFI Scores'!B95)^2</f>
        <v>1.8564062499999996</v>
      </c>
      <c r="AB95" s="29">
        <f>('BFI Scores'!AG95-'BFI Scores'!C95)^2</f>
        <v>0.33382716049382993</v>
      </c>
      <c r="AC95" s="29">
        <f>('BFI Scores'!AH95-'BFI Scores'!D95)^2</f>
        <v>0.55254444444444029</v>
      </c>
      <c r="AD95" s="29">
        <f>('BFI Scores'!AI95-'BFI Scores'!E95)^2</f>
        <v>0.46580625000000014</v>
      </c>
      <c r="AE95" s="29">
        <f>('BFI Scores'!AJ95-'BFI Scores'!F95)^2</f>
        <v>9.6100000000000033E-2</v>
      </c>
      <c r="AF95" s="23">
        <f t="shared" si="12"/>
        <v>0.52591402777777541</v>
      </c>
      <c r="AG95" s="23">
        <f t="shared" si="13"/>
        <v>0.22873015432098759</v>
      </c>
      <c r="AH95" s="23">
        <f t="shared" si="14"/>
        <v>0.49784118827160428</v>
      </c>
      <c r="AI95" s="23">
        <f t="shared" si="15"/>
        <v>0.98143805555555708</v>
      </c>
      <c r="AJ95" s="30">
        <f t="shared" si="16"/>
        <v>0.92836112654320946</v>
      </c>
      <c r="AK95" s="30">
        <f t="shared" si="17"/>
        <v>0.66093682098765394</v>
      </c>
    </row>
    <row r="96" spans="1:37" x14ac:dyDescent="0.2">
      <c r="A96" s="21">
        <v>99496</v>
      </c>
      <c r="B96" s="22">
        <f>('BFI Scores'!G96-'BFI Scores'!B96)^2</f>
        <v>1.5006250000000003</v>
      </c>
      <c r="C96" s="22">
        <f>('BFI Scores'!H96-'BFI Scores'!C96)^2</f>
        <v>2.1511111111109107E-2</v>
      </c>
      <c r="D96" s="22">
        <f>('BFI Scores'!I96-'BFI Scores'!D96)^2</f>
        <v>0.79012345679012574</v>
      </c>
      <c r="E96" s="22">
        <f>('BFI Scores'!J96-'BFI Scores'!E96)^2</f>
        <v>5.405625000000007E-2</v>
      </c>
      <c r="F96" s="22">
        <f>('BFI Scores'!K96-'BFI Scores'!F96)^2</f>
        <v>0.6241000000000001</v>
      </c>
      <c r="G96" s="22">
        <f>('BFI Scores'!L96-'BFI Scores'!B96)^2</f>
        <v>4.78515625</v>
      </c>
      <c r="H96" s="22">
        <f>('BFI Scores'!M96-'BFI Scores'!C96)^2</f>
        <v>1.0178567901234588</v>
      </c>
      <c r="I96" s="22">
        <f>('BFI Scores'!N96-'BFI Scores'!D96)^2</f>
        <v>1.6899999999999995</v>
      </c>
      <c r="J96" s="22">
        <f>('BFI Scores'!O96-'BFI Scores'!E96)^2</f>
        <v>3.2220249999999999</v>
      </c>
      <c r="K96" s="22">
        <f>('BFI Scores'!P96-'BFI Scores'!F96)^2</f>
        <v>1.0000000000000018E-2</v>
      </c>
      <c r="L96" s="22">
        <f>('BFI Scores'!Q96-'BFI Scores'!B96)^2</f>
        <v>0.42249999999999988</v>
      </c>
      <c r="M96" s="22">
        <f>('BFI Scores'!R96-'BFI Scores'!C96)^2</f>
        <v>3.9116049382717039E-2</v>
      </c>
      <c r="N96" s="22">
        <f>('BFI Scores'!S96-'BFI Scores'!D96)^2</f>
        <v>0.69444444444443953</v>
      </c>
      <c r="O96" s="22">
        <f>('BFI Scores'!T96-'BFI Scores'!E96)^2</f>
        <v>0.2450250000000001</v>
      </c>
      <c r="P96" s="22">
        <f>('BFI Scores'!U96-'BFI Scores'!F96)^2</f>
        <v>0.79210000000000025</v>
      </c>
      <c r="Q96" s="22">
        <f>('BFI Scores'!V96-'BFI Scores'!B96)^2</f>
        <v>1.4400000000000004</v>
      </c>
      <c r="R96" s="22">
        <f>('BFI Scores'!W96-'BFI Scores'!C96)^2</f>
        <v>0.44148641975309405</v>
      </c>
      <c r="S96" s="22">
        <f>('BFI Scores'!X96-'BFI Scores'!D96)^2</f>
        <v>1.2593827160493778</v>
      </c>
      <c r="T96" s="22">
        <f>('BFI Scores'!Y96-'BFI Scores'!E96)^2</f>
        <v>3.0888062500000011</v>
      </c>
      <c r="U96" s="22">
        <f>('BFI Scores'!Z96-'BFI Scores'!F96)^2</f>
        <v>4.0000000000000072E-4</v>
      </c>
      <c r="V96" s="29">
        <f>('BFI Scores'!AA96-'BFI Scores'!B96)^2</f>
        <v>0.74390624999999966</v>
      </c>
      <c r="W96" s="29">
        <f>('BFI Scores'!AB96-'BFI Scores'!C96)^2</f>
        <v>4.8400000000000089E-2</v>
      </c>
      <c r="X96" s="29">
        <f>('BFI Scores'!AC96-'BFI Scores'!D96)^2</f>
        <v>0.93444444444445152</v>
      </c>
      <c r="Y96" s="29">
        <f>('BFI Scores'!AD96-'BFI Scores'!E96)^2</f>
        <v>2.0250000000000138E-3</v>
      </c>
      <c r="Z96" s="29">
        <f>('BFI Scores'!AE96-'BFI Scores'!F96)^2</f>
        <v>0.46239999999999959</v>
      </c>
      <c r="AA96" s="29">
        <f>('BFI Scores'!AF96-'BFI Scores'!B96)^2</f>
        <v>3.0625</v>
      </c>
      <c r="AB96" s="29">
        <f>('BFI Scores'!AG96-'BFI Scores'!C96)^2</f>
        <v>1.0404</v>
      </c>
      <c r="AC96" s="29">
        <f>('BFI Scores'!AH96-'BFI Scores'!D96)^2</f>
        <v>3.2001234567901276</v>
      </c>
      <c r="AD96" s="29">
        <f>('BFI Scores'!AI96-'BFI Scores'!E96)^2</f>
        <v>5.0963062500000014</v>
      </c>
      <c r="AE96" s="29">
        <f>('BFI Scores'!AJ96-'BFI Scores'!F96)^2</f>
        <v>4.8999999999999773E-3</v>
      </c>
      <c r="AF96" s="23">
        <f t="shared" si="12"/>
        <v>0.59808316358024705</v>
      </c>
      <c r="AG96" s="23">
        <f t="shared" si="13"/>
        <v>2.1450076080246916</v>
      </c>
      <c r="AH96" s="23">
        <f t="shared" si="14"/>
        <v>0.43863709876543133</v>
      </c>
      <c r="AI96" s="23">
        <f t="shared" si="15"/>
        <v>1.2460150771604945</v>
      </c>
      <c r="AJ96" s="30">
        <f t="shared" si="16"/>
        <v>0.43823513888889015</v>
      </c>
      <c r="AK96" s="30">
        <f t="shared" si="17"/>
        <v>2.4808459413580257</v>
      </c>
    </row>
  </sheetData>
  <autoFilter ref="A1:Y9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BFI Scores</vt:lpstr>
      <vt:lpstr>Correlations</vt:lpstr>
      <vt:lpstr>MSE by trait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Lametti</cp:lastModifiedBy>
  <dcterms:created xsi:type="dcterms:W3CDTF">2026-09-15T20:21:07Z</dcterms:created>
  <dcterms:modified xsi:type="dcterms:W3CDTF">2026-10-26T18:02:08Z</dcterms:modified>
</cp:coreProperties>
</file>